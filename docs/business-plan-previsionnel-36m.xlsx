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Prudent (-30%)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Ambitieux (+30%)" sheetId="4" state="visible" r:id="rId4"/>
    <sheet xmlns:r="http://schemas.openxmlformats.org/officeDocument/2006/relationships" name="Comparatif annu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Capital initial (€)</t>
        </is>
      </c>
      <c r="B2" t="n">
        <v>4900</v>
      </c>
    </row>
    <row r="3">
      <c r="A3" t="inlineStr">
        <is>
          <t>Frais fixes infra départ (€/mois)</t>
        </is>
      </c>
      <c r="B3" t="n">
        <v>500</v>
      </c>
    </row>
    <row r="4">
      <c r="A4" t="inlineStr">
        <is>
          <t>Hausse frais fixes / trimestre</t>
        </is>
      </c>
      <c r="B4" t="n">
        <v>0.15</v>
      </c>
    </row>
    <row r="5">
      <c r="A5" t="inlineStr">
        <is>
          <t>Frais variables (% CA HT)</t>
        </is>
      </c>
      <c r="B5" t="n">
        <v>0.01</v>
      </c>
    </row>
    <row r="6">
      <c r="A6" t="inlineStr">
        <is>
          <t>TVA (%)</t>
        </is>
      </c>
      <c r="B6" t="n">
        <v>0.2</v>
      </c>
    </row>
    <row r="7">
      <c r="A7" t="inlineStr">
        <is>
          <t>Churn — début (mois)</t>
        </is>
      </c>
      <c r="B7" t="n">
        <v>9</v>
      </c>
    </row>
    <row r="8">
      <c r="A8" t="inlineStr">
        <is>
          <t>Churn initial (%/mois)</t>
        </is>
      </c>
      <c r="B8" t="n">
        <v>0.05</v>
      </c>
    </row>
    <row r="9">
      <c r="A9" t="inlineStr">
        <is>
          <t>Décroissance churn (%/mois)</t>
        </is>
      </c>
      <c r="B9" t="n">
        <v>0.1</v>
      </c>
    </row>
    <row r="10">
      <c r="A10" t="inlineStr">
        <is>
          <t>Rattrapage rampe (%/mois)</t>
        </is>
      </c>
      <c r="B10" t="n">
        <v>0.4</v>
      </c>
    </row>
    <row r="11">
      <c r="A11" t="inlineStr">
        <is>
          <t>Prix Atelier TTC (€/mois)</t>
        </is>
      </c>
      <c r="B11" t="n">
        <v>59</v>
      </c>
    </row>
    <row r="12">
      <c r="A12" t="inlineStr">
        <is>
          <t>Prix Horizon TTC (€/mois)</t>
        </is>
      </c>
      <c r="B12" t="n">
        <v>149</v>
      </c>
    </row>
    <row r="13">
      <c r="A13" t="inlineStr">
        <is>
          <t>Prix Rayonnement TTC (€/mois)</t>
        </is>
      </c>
      <c r="B13" t="n">
        <v>549</v>
      </c>
    </row>
    <row r="14">
      <c r="A14" t="inlineStr">
        <is>
          <t>TJM développeur (€ HT)</t>
        </is>
      </c>
      <c r="B14" t="n">
        <v>450</v>
      </c>
    </row>
    <row r="15">
      <c r="A15" t="inlineStr">
        <is>
          <t>Jours / mois / développeur</t>
        </is>
      </c>
      <c r="B15" t="n">
        <v>10</v>
      </c>
    </row>
    <row r="16">
      <c r="A16" t="inlineStr">
        <is>
          <t>Coût mensuel / développeur (€ HT)</t>
        </is>
      </c>
      <c r="B16">
        <f>B14*B15</f>
        <v/>
      </c>
    </row>
    <row r="18">
      <c r="A18" s="1" t="inlineStr">
        <is>
          <t>Facturation par année</t>
        </is>
      </c>
      <c r="B18" s="1" t="n"/>
      <c r="C18" s="1" t="n"/>
      <c r="D18" s="1" t="n"/>
    </row>
    <row r="19">
      <c r="A19" t="inlineStr">
        <is>
          <t>A1</t>
        </is>
      </c>
      <c r="B19" t="n">
        <v>0.6</v>
      </c>
      <c r="C19" t="n">
        <v>0.05</v>
      </c>
      <c r="D19" t="n">
        <v>20</v>
      </c>
    </row>
    <row r="20">
      <c r="A20" t="inlineStr">
        <is>
          <t>A2</t>
        </is>
      </c>
      <c r="B20" t="n">
        <v>0.5</v>
      </c>
      <c r="C20" t="n">
        <v>0.1</v>
      </c>
      <c r="D20" t="n">
        <v>25</v>
      </c>
    </row>
    <row r="21">
      <c r="A21" t="inlineStr">
        <is>
          <t>A3</t>
        </is>
      </c>
      <c r="B21" t="n">
        <v>0.4</v>
      </c>
      <c r="C21" t="n">
        <v>0.12</v>
      </c>
      <c r="D21" t="n">
        <v>30</v>
      </c>
    </row>
    <row r="23">
      <c r="A23" s="1" t="inlineStr">
        <is>
          <t>Effectifs cibles fin d'année (base, avant facteur scénario)</t>
        </is>
      </c>
      <c r="B23" s="1" t="n"/>
      <c r="C23" s="1" t="n"/>
      <c r="D23" s="1" t="n"/>
    </row>
    <row r="24">
      <c r="A24" t="inlineStr">
        <is>
          <t>Plan</t>
        </is>
      </c>
      <c r="B24" t="inlineStr">
        <is>
          <t>Fin A1</t>
        </is>
      </c>
      <c r="C24" t="inlineStr">
        <is>
          <t>Fin A2</t>
        </is>
      </c>
      <c r="D24" t="inlineStr">
        <is>
          <t>Fin A3</t>
        </is>
      </c>
    </row>
    <row r="25">
      <c r="A25" t="inlineStr">
        <is>
          <t>Atelier</t>
        </is>
      </c>
      <c r="B25" t="n">
        <v>5</v>
      </c>
      <c r="C25" t="n">
        <v>10</v>
      </c>
      <c r="D25" t="n">
        <v>20</v>
      </c>
    </row>
    <row r="26">
      <c r="A26" t="inlineStr">
        <is>
          <t>Horizon</t>
        </is>
      </c>
      <c r="B26" t="n">
        <v>10</v>
      </c>
      <c r="C26" t="n">
        <v>35</v>
      </c>
      <c r="D26" t="n">
        <v>70</v>
      </c>
    </row>
    <row r="27">
      <c r="A27" t="inlineStr">
        <is>
          <t>Rayonnement</t>
        </is>
      </c>
      <c r="B27" t="n">
        <v>0</v>
      </c>
      <c r="C27" t="n">
        <v>2</v>
      </c>
      <c r="D27" t="n">
        <v>5</v>
      </c>
    </row>
    <row r="28">
      <c r="A28" t="inlineStr">
        <is>
          <t>Zénith (contrats)</t>
        </is>
      </c>
      <c r="B28" t="n">
        <v>0</v>
      </c>
      <c r="C28" t="n">
        <v>1</v>
      </c>
      <c r="D28" t="n">
        <v>3</v>
      </c>
    </row>
    <row r="30">
      <c r="A30" t="inlineStr">
        <is>
          <t>Zénith — montants TTC (base)</t>
        </is>
      </c>
    </row>
    <row r="31">
      <c r="A31" t="inlineStr">
        <is>
          <t>Mois 18</t>
        </is>
      </c>
      <c r="B31" t="n">
        <v>15000</v>
      </c>
    </row>
    <row r="32">
      <c r="A32" t="inlineStr">
        <is>
          <t>Mois 30/34</t>
        </is>
      </c>
      <c r="B32" t="n">
        <v>17000</v>
      </c>
    </row>
    <row r="34">
      <c r="A34" t="inlineStr">
        <is>
          <t>Note</t>
        </is>
      </c>
      <c r="B34" t="inlineStr">
        <is>
          <t>Modifier les valeurs ci-dessus : les 3 onglets scénario se recalculent automatiquement.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t="inlineStr">
        <is>
          <t>Facteur clients (scénario)</t>
        </is>
      </c>
      <c r="B1" t="n">
        <v>0.7</v>
      </c>
    </row>
    <row r="2">
      <c r="A2" t="inlineStr">
        <is>
          <t>Zénith fin A2 (cible)</t>
        </is>
      </c>
      <c r="B2">
        <f>ROUND(Hypothèses!$C$28*$B$1,0)</f>
        <v/>
      </c>
      <c r="C2" t="inlineStr">
        <is>
          <t>Zénith fin A3 (cible)</t>
        </is>
      </c>
      <c r="D2">
        <f>ROUND(Hypothèses!$D$28*$B$1,0)</f>
        <v/>
      </c>
    </row>
    <row r="3">
      <c r="A3" s="1" t="inlineStr">
        <is>
          <t>Mois</t>
        </is>
      </c>
      <c r="B3" s="1" t="inlineStr">
        <is>
          <t>Année</t>
        </is>
      </c>
      <c r="C3" s="1" t="inlineStr">
        <is>
          <t>Atelier</t>
        </is>
      </c>
      <c r="D3" s="1" t="inlineStr">
        <is>
          <t>Horizon</t>
        </is>
      </c>
      <c r="E3" s="1" t="inlineStr">
        <is>
          <t>Rayonnement</t>
        </is>
      </c>
      <c r="F3" s="1" t="inlineStr">
        <is>
          <t>Cible Atelier</t>
        </is>
      </c>
      <c r="G3" s="1" t="inlineStr">
        <is>
          <t>Cible Horizon</t>
        </is>
      </c>
      <c r="H3" s="1" t="inlineStr">
        <is>
          <t>Cible Rayonn.</t>
        </is>
      </c>
      <c r="I3" s="1" t="inlineStr">
        <is>
          <t>Taux churn</t>
        </is>
      </c>
      <c r="J3" s="1" t="inlineStr">
        <is>
          <t>Clients payants</t>
        </is>
      </c>
      <c r="K3" s="1" t="inlineStr">
        <is>
          <t>MRR abo TTC</t>
        </is>
      </c>
      <c r="L3" s="1" t="inlineStr">
        <is>
          <t>Options TTC</t>
        </is>
      </c>
      <c r="M3" s="1" t="inlineStr">
        <is>
          <t>Zénith TTC</t>
        </is>
      </c>
      <c r="N3" s="1" t="inlineStr">
        <is>
          <t>CA TTC</t>
        </is>
      </c>
      <c r="O3" s="1" t="inlineStr">
        <is>
          <t>CA HT</t>
        </is>
      </c>
      <c r="P3" s="1" t="inlineStr">
        <is>
          <t>Frais fixes infra</t>
        </is>
      </c>
      <c r="Q3" s="1" t="inlineStr">
        <is>
          <t>Nb développeurs</t>
        </is>
      </c>
      <c r="R3" s="1" t="inlineStr">
        <is>
          <t>Sous-traitance dev (HT)</t>
        </is>
      </c>
      <c r="S3" s="1" t="inlineStr">
        <is>
          <t>Frais variables 1%</t>
        </is>
      </c>
      <c r="T3" s="1" t="inlineStr">
        <is>
          <t>EBITDA</t>
        </is>
      </c>
      <c r="U3" s="1" t="inlineStr">
        <is>
          <t>Trésorerie</t>
        </is>
      </c>
    </row>
    <row r="4">
      <c r="A4" t="n">
        <v>1</v>
      </c>
      <c r="B4">
        <f>INT((A4-1)/12)+1</f>
        <v/>
      </c>
      <c r="C4">
        <f>ROUND(IF(MOD($A4,12)=0,F4,(IF(4=4,0,C3))*(1-$I4)+IF((IF(4=4,0,C3))*(1-$I4)&lt;F4,(F4-(IF(4=4,0,C3))*(1-$I4))*Hypothèses!$B$10,0)),1)</f>
        <v/>
      </c>
      <c r="D4">
        <f>ROUND(IF(MOD($A4,12)=0,G4,(IF(4=4,0,D3))*(1-$I4)+IF((IF(4=4,0,D3))*(1-$I4)&lt;G4,(G4-(IF(4=4,0,D3))*(1-$I4))*Hypothèses!$B$10,0)),1)</f>
        <v/>
      </c>
      <c r="E4">
        <f>ROUND(IF(MOD($A4,12)=0,H4,(IF(4=4,0,E3))*(1-$I4)+IF((IF(4=4,0,E3))*(1-$I4)&lt;H4,(H4-(IF(4=4,0,E3))*(1-$I4))*Hypothèses!$B$10,0)),1)</f>
        <v/>
      </c>
      <c r="F4">
        <f>(IF(B4=1,0,IF(B4=2,Hypothèses!$B$25,IF(B4=3,Hypothèses!$C$25,Hypothèses!$D$25)))+(IF(B4=1,Hypothèses!$B$25,IF(B4=2,Hypothèses!$C$25,IF(B4=3,Hypothèses!$D$25,Hypothèses!$D$25)))-(IF(B4=1,0,IF(B4=2,Hypothèses!$B$25,IF(B4=3,Hypothèses!$C$25,Hypothèses!$D$25)))))*((A4)-INT((A4-1)/12)*12)/12)*$B$1</f>
        <v/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/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/>
      </c>
      <c r="I4">
        <f>IF(A4&lt;Hypothèses!$B$7,0,Hypothèses!$B$8*(1-Hypothèses!$B$9)^(A4-Hypothèses!$B$7))</f>
        <v/>
      </c>
      <c r="J4">
        <f>C4+D4+E4</f>
        <v/>
      </c>
      <c r="K4">
        <f>(C4*Hypothèses!$B$11+D4*Hypothèses!$B$12+E4*Hypothèses!$B$13)*(IF(B4=1,Hypothèses!$B$19,IF(B4=2,Hypothèses!$B$20,Hypothèses!$B$21))+(1-(IF(B4=1,Hypothèses!$B$19,IF(B4=2,Hypothèses!$B$20,Hypothèses!$B$21))))*11/12)</f>
        <v/>
      </c>
      <c r="L4">
        <f>J4*IF(B4=1,Hypothèses!$C$19,IF(B4=2,Hypothèses!$C$20,Hypothèses!$C$21))*IF(B4=1,Hypothèses!$D$19,IF(B4=2,Hypothèses!$D$20,Hypothèses!$D$21))</f>
        <v/>
      </c>
      <c r="M4">
        <f>IF(A4=18,IF($B$2&gt;=1,Hypothèses!$B$31,0),IF(AND(OR(A4=30,A4=34),$D$2&gt;=1),Hypothèses!$B$32*MIN(1,$D$2/3),0))</f>
        <v/>
      </c>
      <c r="N4">
        <f>K4+L4+M4</f>
        <v/>
      </c>
      <c r="O4">
        <f>N4/(1+Hypothèses!$B$6)</f>
        <v/>
      </c>
      <c r="P4">
        <f>Hypothèses!$B$3*(1+Hypothèses!$B$4)^INT((A4-1)/3)</f>
        <v/>
      </c>
      <c r="Q4">
        <f>0</f>
        <v/>
      </c>
      <c r="R4">
        <f>Q4*Hypothèses!$B$16</f>
        <v/>
      </c>
      <c r="S4">
        <f>O4*Hypothèses!$B$5</f>
        <v/>
      </c>
      <c r="T4">
        <f>O4-P4-R4-S4</f>
        <v/>
      </c>
      <c r="U4">
        <f>Hypothèses!$B$2+T4</f>
        <v/>
      </c>
    </row>
    <row r="5">
      <c r="A5" t="n">
        <v>2</v>
      </c>
      <c r="B5">
        <f>INT((A5-1)/12)+1</f>
        <v/>
      </c>
      <c r="C5">
        <f>ROUND(IF(MOD($A5,12)=0,F5,(IF(5=4,0,C4))*(1-$I5)+IF((IF(5=4,0,C4))*(1-$I5)&lt;F5,(F5-(IF(5=4,0,C4))*(1-$I5))*Hypothèses!$B$10,0)),1)</f>
        <v/>
      </c>
      <c r="D5">
        <f>ROUND(IF(MOD($A5,12)=0,G5,(IF(5=4,0,D4))*(1-$I5)+IF((IF(5=4,0,D4))*(1-$I5)&lt;G5,(G5-(IF(5=4,0,D4))*(1-$I5))*Hypothèses!$B$10,0)),1)</f>
        <v/>
      </c>
      <c r="E5">
        <f>ROUND(IF(MOD($A5,12)=0,H5,(IF(5=4,0,E4))*(1-$I5)+IF((IF(5=4,0,E4))*(1-$I5)&lt;H5,(H5-(IF(5=4,0,E4))*(1-$I5))*Hypothèses!$B$10,0)),1)</f>
        <v/>
      </c>
      <c r="F5">
        <f>(IF(B5=1,0,IF(B5=2,Hypothèses!$B$25,IF(B5=3,Hypothèses!$C$25,Hypothèses!$D$25)))+(IF(B5=1,Hypothèses!$B$25,IF(B5=2,Hypothèses!$C$25,IF(B5=3,Hypothèses!$D$25,Hypothèses!$D$25)))-(IF(B5=1,0,IF(B5=2,Hypothèses!$B$25,IF(B5=3,Hypothèses!$C$25,Hypothèses!$D$25)))))*((A5)-INT((A5-1)/12)*12)/12)*$B$1</f>
        <v/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/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/>
      </c>
      <c r="I5">
        <f>IF(A5&lt;Hypothèses!$B$7,0,Hypothèses!$B$8*(1-Hypothèses!$B$9)^(A5-Hypothèses!$B$7))</f>
        <v/>
      </c>
      <c r="J5">
        <f>C5+D5+E5</f>
        <v/>
      </c>
      <c r="K5">
        <f>(C5*Hypothèses!$B$11+D5*Hypothèses!$B$12+E5*Hypothèses!$B$13)*(IF(B5=1,Hypothèses!$B$19,IF(B5=2,Hypothèses!$B$20,Hypothèses!$B$21))+(1-(IF(B5=1,Hypothèses!$B$19,IF(B5=2,Hypothèses!$B$20,Hypothèses!$B$21))))*11/12)</f>
        <v/>
      </c>
      <c r="L5">
        <f>J5*IF(B5=1,Hypothèses!$C$19,IF(B5=2,Hypothèses!$C$20,Hypothèses!$C$21))*IF(B5=1,Hypothèses!$D$19,IF(B5=2,Hypothèses!$D$20,Hypothèses!$D$21))</f>
        <v/>
      </c>
      <c r="M5">
        <f>IF(A5=18,IF($B$2&gt;=1,Hypothèses!$B$31,0),IF(AND(OR(A5=30,A5=34),$D$2&gt;=1),Hypothèses!$B$32*MIN(1,$D$2/3),0))</f>
        <v/>
      </c>
      <c r="N5">
        <f>K5+L5+M5</f>
        <v/>
      </c>
      <c r="O5">
        <f>N5/(1+Hypothèses!$B$6)</f>
        <v/>
      </c>
      <c r="P5">
        <f>Hypothèses!$B$3*(1+Hypothèses!$B$4)^INT((A5-1)/3)</f>
        <v/>
      </c>
      <c r="Q5">
        <f>0</f>
        <v/>
      </c>
      <c r="R5">
        <f>Q5*Hypothèses!$B$16</f>
        <v/>
      </c>
      <c r="S5">
        <f>O5*Hypothèses!$B$5</f>
        <v/>
      </c>
      <c r="T5">
        <f>O5-P5-R5-S5</f>
        <v/>
      </c>
      <c r="U5">
        <f>U4+T5</f>
        <v/>
      </c>
    </row>
    <row r="6">
      <c r="A6" t="n">
        <v>3</v>
      </c>
      <c r="B6">
        <f>INT((A6-1)/12)+1</f>
        <v/>
      </c>
      <c r="C6">
        <f>ROUND(IF(MOD($A6,12)=0,F6,(IF(6=4,0,C5))*(1-$I6)+IF((IF(6=4,0,C5))*(1-$I6)&lt;F6,(F6-(IF(6=4,0,C5))*(1-$I6))*Hypothèses!$B$10,0)),1)</f>
        <v/>
      </c>
      <c r="D6">
        <f>ROUND(IF(MOD($A6,12)=0,G6,(IF(6=4,0,D5))*(1-$I6)+IF((IF(6=4,0,D5))*(1-$I6)&lt;G6,(G6-(IF(6=4,0,D5))*(1-$I6))*Hypothèses!$B$10,0)),1)</f>
        <v/>
      </c>
      <c r="E6">
        <f>ROUND(IF(MOD($A6,12)=0,H6,(IF(6=4,0,E5))*(1-$I6)+IF((IF(6=4,0,E5))*(1-$I6)&lt;H6,(H6-(IF(6=4,0,E5))*(1-$I6))*Hypothèses!$B$10,0)),1)</f>
        <v/>
      </c>
      <c r="F6">
        <f>(IF(B6=1,0,IF(B6=2,Hypothèses!$B$25,IF(B6=3,Hypothèses!$C$25,Hypothèses!$D$25)))+(IF(B6=1,Hypothèses!$B$25,IF(B6=2,Hypothèses!$C$25,IF(B6=3,Hypothèses!$D$25,Hypothèses!$D$25)))-(IF(B6=1,0,IF(B6=2,Hypothèses!$B$25,IF(B6=3,Hypothèses!$C$25,Hypothèses!$D$25)))))*((A6)-INT((A6-1)/12)*12)/12)*$B$1</f>
        <v/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/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/>
      </c>
      <c r="I6">
        <f>IF(A6&lt;Hypothèses!$B$7,0,Hypothèses!$B$8*(1-Hypothèses!$B$9)^(A6-Hypothèses!$B$7))</f>
        <v/>
      </c>
      <c r="J6">
        <f>C6+D6+E6</f>
        <v/>
      </c>
      <c r="K6">
        <f>(C6*Hypothèses!$B$11+D6*Hypothèses!$B$12+E6*Hypothèses!$B$13)*(IF(B6=1,Hypothèses!$B$19,IF(B6=2,Hypothèses!$B$20,Hypothèses!$B$21))+(1-(IF(B6=1,Hypothèses!$B$19,IF(B6=2,Hypothèses!$B$20,Hypothèses!$B$21))))*11/12)</f>
        <v/>
      </c>
      <c r="L6">
        <f>J6*IF(B6=1,Hypothèses!$C$19,IF(B6=2,Hypothèses!$C$20,Hypothèses!$C$21))*IF(B6=1,Hypothèses!$D$19,IF(B6=2,Hypothèses!$D$20,Hypothèses!$D$21))</f>
        <v/>
      </c>
      <c r="M6">
        <f>IF(A6=18,IF($B$2&gt;=1,Hypothèses!$B$31,0),IF(AND(OR(A6=30,A6=34),$D$2&gt;=1),Hypothèses!$B$32*MIN(1,$D$2/3),0))</f>
        <v/>
      </c>
      <c r="N6">
        <f>K6+L6+M6</f>
        <v/>
      </c>
      <c r="O6">
        <f>N6/(1+Hypothèses!$B$6)</f>
        <v/>
      </c>
      <c r="P6">
        <f>Hypothèses!$B$3*(1+Hypothèses!$B$4)^INT((A6-1)/3)</f>
        <v/>
      </c>
      <c r="Q6">
        <f>0</f>
        <v/>
      </c>
      <c r="R6">
        <f>Q6*Hypothèses!$B$16</f>
        <v/>
      </c>
      <c r="S6">
        <f>O6*Hypothèses!$B$5</f>
        <v/>
      </c>
      <c r="T6">
        <f>O6-P6-R6-S6</f>
        <v/>
      </c>
      <c r="U6">
        <f>U5+T6</f>
        <v/>
      </c>
    </row>
    <row r="7">
      <c r="A7" t="n">
        <v>4</v>
      </c>
      <c r="B7">
        <f>INT((A7-1)/12)+1</f>
        <v/>
      </c>
      <c r="C7">
        <f>ROUND(IF(MOD($A7,12)=0,F7,(IF(7=4,0,C6))*(1-$I7)+IF((IF(7=4,0,C6))*(1-$I7)&lt;F7,(F7-(IF(7=4,0,C6))*(1-$I7))*Hypothèses!$B$10,0)),1)</f>
        <v/>
      </c>
      <c r="D7">
        <f>ROUND(IF(MOD($A7,12)=0,G7,(IF(7=4,0,D6))*(1-$I7)+IF((IF(7=4,0,D6))*(1-$I7)&lt;G7,(G7-(IF(7=4,0,D6))*(1-$I7))*Hypothèses!$B$10,0)),1)</f>
        <v/>
      </c>
      <c r="E7">
        <f>ROUND(IF(MOD($A7,12)=0,H7,(IF(7=4,0,E6))*(1-$I7)+IF((IF(7=4,0,E6))*(1-$I7)&lt;H7,(H7-(IF(7=4,0,E6))*(1-$I7))*Hypothèses!$B$10,0)),1)</f>
        <v/>
      </c>
      <c r="F7">
        <f>(IF(B7=1,0,IF(B7=2,Hypothèses!$B$25,IF(B7=3,Hypothèses!$C$25,Hypothèses!$D$25)))+(IF(B7=1,Hypothèses!$B$25,IF(B7=2,Hypothèses!$C$25,IF(B7=3,Hypothèses!$D$25,Hypothèses!$D$25)))-(IF(B7=1,0,IF(B7=2,Hypothèses!$B$25,IF(B7=3,Hypothèses!$C$25,Hypothèses!$D$25)))))*((A7)-INT((A7-1)/12)*12)/12)*$B$1</f>
        <v/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/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/>
      </c>
      <c r="I7">
        <f>IF(A7&lt;Hypothèses!$B$7,0,Hypothèses!$B$8*(1-Hypothèses!$B$9)^(A7-Hypothèses!$B$7))</f>
        <v/>
      </c>
      <c r="J7">
        <f>C7+D7+E7</f>
        <v/>
      </c>
      <c r="K7">
        <f>(C7*Hypothèses!$B$11+D7*Hypothèses!$B$12+E7*Hypothèses!$B$13)*(IF(B7=1,Hypothèses!$B$19,IF(B7=2,Hypothèses!$B$20,Hypothèses!$B$21))+(1-(IF(B7=1,Hypothèses!$B$19,IF(B7=2,Hypothèses!$B$20,Hypothèses!$B$21))))*11/12)</f>
        <v/>
      </c>
      <c r="L7">
        <f>J7*IF(B7=1,Hypothèses!$C$19,IF(B7=2,Hypothèses!$C$20,Hypothèses!$C$21))*IF(B7=1,Hypothèses!$D$19,IF(B7=2,Hypothèses!$D$20,Hypothèses!$D$21))</f>
        <v/>
      </c>
      <c r="M7">
        <f>IF(A7=18,IF($B$2&gt;=1,Hypothèses!$B$31,0),IF(AND(OR(A7=30,A7=34),$D$2&gt;=1),Hypothèses!$B$32*MIN(1,$D$2/3),0))</f>
        <v/>
      </c>
      <c r="N7">
        <f>K7+L7+M7</f>
        <v/>
      </c>
      <c r="O7">
        <f>N7/(1+Hypothèses!$B$6)</f>
        <v/>
      </c>
      <c r="P7">
        <f>Hypothèses!$B$3*(1+Hypothèses!$B$4)^INT((A7-1)/3)</f>
        <v/>
      </c>
      <c r="Q7">
        <f>0</f>
        <v/>
      </c>
      <c r="R7">
        <f>Q7*Hypothèses!$B$16</f>
        <v/>
      </c>
      <c r="S7">
        <f>O7*Hypothèses!$B$5</f>
        <v/>
      </c>
      <c r="T7">
        <f>O7-P7-R7-S7</f>
        <v/>
      </c>
      <c r="U7">
        <f>U6+T7</f>
        <v/>
      </c>
    </row>
    <row r="8">
      <c r="A8" t="n">
        <v>5</v>
      </c>
      <c r="B8">
        <f>INT((A8-1)/12)+1</f>
        <v/>
      </c>
      <c r="C8">
        <f>ROUND(IF(MOD($A8,12)=0,F8,(IF(8=4,0,C7))*(1-$I8)+IF((IF(8=4,0,C7))*(1-$I8)&lt;F8,(F8-(IF(8=4,0,C7))*(1-$I8))*Hypothèses!$B$10,0)),1)</f>
        <v/>
      </c>
      <c r="D8">
        <f>ROUND(IF(MOD($A8,12)=0,G8,(IF(8=4,0,D7))*(1-$I8)+IF((IF(8=4,0,D7))*(1-$I8)&lt;G8,(G8-(IF(8=4,0,D7))*(1-$I8))*Hypothèses!$B$10,0)),1)</f>
        <v/>
      </c>
      <c r="E8">
        <f>ROUND(IF(MOD($A8,12)=0,H8,(IF(8=4,0,E7))*(1-$I8)+IF((IF(8=4,0,E7))*(1-$I8)&lt;H8,(H8-(IF(8=4,0,E7))*(1-$I8))*Hypothèses!$B$10,0)),1)</f>
        <v/>
      </c>
      <c r="F8">
        <f>(IF(B8=1,0,IF(B8=2,Hypothèses!$B$25,IF(B8=3,Hypothèses!$C$25,Hypothèses!$D$25)))+(IF(B8=1,Hypothèses!$B$25,IF(B8=2,Hypothèses!$C$25,IF(B8=3,Hypothèses!$D$25,Hypothèses!$D$25)))-(IF(B8=1,0,IF(B8=2,Hypothèses!$B$25,IF(B8=3,Hypothèses!$C$25,Hypothèses!$D$25)))))*((A8)-INT((A8-1)/12)*12)/12)*$B$1</f>
        <v/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/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/>
      </c>
      <c r="I8">
        <f>IF(A8&lt;Hypothèses!$B$7,0,Hypothèses!$B$8*(1-Hypothèses!$B$9)^(A8-Hypothèses!$B$7))</f>
        <v/>
      </c>
      <c r="J8">
        <f>C8+D8+E8</f>
        <v/>
      </c>
      <c r="K8">
        <f>(C8*Hypothèses!$B$11+D8*Hypothèses!$B$12+E8*Hypothèses!$B$13)*(IF(B8=1,Hypothèses!$B$19,IF(B8=2,Hypothèses!$B$20,Hypothèses!$B$21))+(1-(IF(B8=1,Hypothèses!$B$19,IF(B8=2,Hypothèses!$B$20,Hypothèses!$B$21))))*11/12)</f>
        <v/>
      </c>
      <c r="L8">
        <f>J8*IF(B8=1,Hypothèses!$C$19,IF(B8=2,Hypothèses!$C$20,Hypothèses!$C$21))*IF(B8=1,Hypothèses!$D$19,IF(B8=2,Hypothèses!$D$20,Hypothèses!$D$21))</f>
        <v/>
      </c>
      <c r="M8">
        <f>IF(A8=18,IF($B$2&gt;=1,Hypothèses!$B$31,0),IF(AND(OR(A8=30,A8=34),$D$2&gt;=1),Hypothèses!$B$32*MIN(1,$D$2/3),0))</f>
        <v/>
      </c>
      <c r="N8">
        <f>K8+L8+M8</f>
        <v/>
      </c>
      <c r="O8">
        <f>N8/(1+Hypothèses!$B$6)</f>
        <v/>
      </c>
      <c r="P8">
        <f>Hypothèses!$B$3*(1+Hypothèses!$B$4)^INT((A8-1)/3)</f>
        <v/>
      </c>
      <c r="Q8">
        <f>0</f>
        <v/>
      </c>
      <c r="R8">
        <f>Q8*Hypothèses!$B$16</f>
        <v/>
      </c>
      <c r="S8">
        <f>O8*Hypothèses!$B$5</f>
        <v/>
      </c>
      <c r="T8">
        <f>O8-P8-R8-S8</f>
        <v/>
      </c>
      <c r="U8">
        <f>U7+T8</f>
        <v/>
      </c>
    </row>
    <row r="9">
      <c r="A9" t="n">
        <v>6</v>
      </c>
      <c r="B9">
        <f>INT((A9-1)/12)+1</f>
        <v/>
      </c>
      <c r="C9">
        <f>ROUND(IF(MOD($A9,12)=0,F9,(IF(9=4,0,C8))*(1-$I9)+IF((IF(9=4,0,C8))*(1-$I9)&lt;F9,(F9-(IF(9=4,0,C8))*(1-$I9))*Hypothèses!$B$10,0)),1)</f>
        <v/>
      </c>
      <c r="D9">
        <f>ROUND(IF(MOD($A9,12)=0,G9,(IF(9=4,0,D8))*(1-$I9)+IF((IF(9=4,0,D8))*(1-$I9)&lt;G9,(G9-(IF(9=4,0,D8))*(1-$I9))*Hypothèses!$B$10,0)),1)</f>
        <v/>
      </c>
      <c r="E9">
        <f>ROUND(IF(MOD($A9,12)=0,H9,(IF(9=4,0,E8))*(1-$I9)+IF((IF(9=4,0,E8))*(1-$I9)&lt;H9,(H9-(IF(9=4,0,E8))*(1-$I9))*Hypothèses!$B$10,0)),1)</f>
        <v/>
      </c>
      <c r="F9">
        <f>(IF(B9=1,0,IF(B9=2,Hypothèses!$B$25,IF(B9=3,Hypothèses!$C$25,Hypothèses!$D$25)))+(IF(B9=1,Hypothèses!$B$25,IF(B9=2,Hypothèses!$C$25,IF(B9=3,Hypothèses!$D$25,Hypothèses!$D$25)))-(IF(B9=1,0,IF(B9=2,Hypothèses!$B$25,IF(B9=3,Hypothèses!$C$25,Hypothèses!$D$25)))))*((A9)-INT((A9-1)/12)*12)/12)*$B$1</f>
        <v/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/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/>
      </c>
      <c r="I9">
        <f>IF(A9&lt;Hypothèses!$B$7,0,Hypothèses!$B$8*(1-Hypothèses!$B$9)^(A9-Hypothèses!$B$7))</f>
        <v/>
      </c>
      <c r="J9">
        <f>C9+D9+E9</f>
        <v/>
      </c>
      <c r="K9">
        <f>(C9*Hypothèses!$B$11+D9*Hypothèses!$B$12+E9*Hypothèses!$B$13)*(IF(B9=1,Hypothèses!$B$19,IF(B9=2,Hypothèses!$B$20,Hypothèses!$B$21))+(1-(IF(B9=1,Hypothèses!$B$19,IF(B9=2,Hypothèses!$B$20,Hypothèses!$B$21))))*11/12)</f>
        <v/>
      </c>
      <c r="L9">
        <f>J9*IF(B9=1,Hypothèses!$C$19,IF(B9=2,Hypothèses!$C$20,Hypothèses!$C$21))*IF(B9=1,Hypothèses!$D$19,IF(B9=2,Hypothèses!$D$20,Hypothèses!$D$21))</f>
        <v/>
      </c>
      <c r="M9">
        <f>IF(A9=18,IF($B$2&gt;=1,Hypothèses!$B$31,0),IF(AND(OR(A9=30,A9=34),$D$2&gt;=1),Hypothèses!$B$32*MIN(1,$D$2/3),0))</f>
        <v/>
      </c>
      <c r="N9">
        <f>K9+L9+M9</f>
        <v/>
      </c>
      <c r="O9">
        <f>N9/(1+Hypothèses!$B$6)</f>
        <v/>
      </c>
      <c r="P9">
        <f>Hypothèses!$B$3*(1+Hypothèses!$B$4)^INT((A9-1)/3)</f>
        <v/>
      </c>
      <c r="Q9">
        <f>0</f>
        <v/>
      </c>
      <c r="R9">
        <f>Q9*Hypothèses!$B$16</f>
        <v/>
      </c>
      <c r="S9">
        <f>O9*Hypothèses!$B$5</f>
        <v/>
      </c>
      <c r="T9">
        <f>O9-P9-R9-S9</f>
        <v/>
      </c>
      <c r="U9">
        <f>U8+T9</f>
        <v/>
      </c>
    </row>
    <row r="10">
      <c r="A10" t="n">
        <v>7</v>
      </c>
      <c r="B10">
        <f>INT((A10-1)/12)+1</f>
        <v/>
      </c>
      <c r="C10">
        <f>ROUND(IF(MOD($A10,12)=0,F10,(IF(10=4,0,C9))*(1-$I10)+IF((IF(10=4,0,C9))*(1-$I10)&lt;F10,(F10-(IF(10=4,0,C9))*(1-$I10))*Hypothèses!$B$10,0)),1)</f>
        <v/>
      </c>
      <c r="D10">
        <f>ROUND(IF(MOD($A10,12)=0,G10,(IF(10=4,0,D9))*(1-$I10)+IF((IF(10=4,0,D9))*(1-$I10)&lt;G10,(G10-(IF(10=4,0,D9))*(1-$I10))*Hypothèses!$B$10,0)),1)</f>
        <v/>
      </c>
      <c r="E10">
        <f>ROUND(IF(MOD($A10,12)=0,H10,(IF(10=4,0,E9))*(1-$I10)+IF((IF(10=4,0,E9))*(1-$I10)&lt;H10,(H10-(IF(10=4,0,E9))*(1-$I10))*Hypothèses!$B$10,0)),1)</f>
        <v/>
      </c>
      <c r="F10">
        <f>(IF(B10=1,0,IF(B10=2,Hypothèses!$B$25,IF(B10=3,Hypothèses!$C$25,Hypothèses!$D$25)))+(IF(B10=1,Hypothèses!$B$25,IF(B10=2,Hypothèses!$C$25,IF(B10=3,Hypothèses!$D$25,Hypothèses!$D$25)))-(IF(B10=1,0,IF(B10=2,Hypothèses!$B$25,IF(B10=3,Hypothèses!$C$25,Hypothèses!$D$25)))))*((A10)-INT((A10-1)/12)*12)/12)*$B$1</f>
        <v/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/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/>
      </c>
      <c r="I10">
        <f>IF(A10&lt;Hypothèses!$B$7,0,Hypothèses!$B$8*(1-Hypothèses!$B$9)^(A10-Hypothèses!$B$7))</f>
        <v/>
      </c>
      <c r="J10">
        <f>C10+D10+E10</f>
        <v/>
      </c>
      <c r="K10">
        <f>(C10*Hypothèses!$B$11+D10*Hypothèses!$B$12+E10*Hypothèses!$B$13)*(IF(B10=1,Hypothèses!$B$19,IF(B10=2,Hypothèses!$B$20,Hypothèses!$B$21))+(1-(IF(B10=1,Hypothèses!$B$19,IF(B10=2,Hypothèses!$B$20,Hypothèses!$B$21))))*11/12)</f>
        <v/>
      </c>
      <c r="L10">
        <f>J10*IF(B10=1,Hypothèses!$C$19,IF(B10=2,Hypothèses!$C$20,Hypothèses!$C$21))*IF(B10=1,Hypothèses!$D$19,IF(B10=2,Hypothèses!$D$20,Hypothèses!$D$21))</f>
        <v/>
      </c>
      <c r="M10">
        <f>IF(A10=18,IF($B$2&gt;=1,Hypothèses!$B$31,0),IF(AND(OR(A10=30,A10=34),$D$2&gt;=1),Hypothèses!$B$32*MIN(1,$D$2/3),0))</f>
        <v/>
      </c>
      <c r="N10">
        <f>K10+L10+M10</f>
        <v/>
      </c>
      <c r="O10">
        <f>N10/(1+Hypothèses!$B$6)</f>
        <v/>
      </c>
      <c r="P10">
        <f>Hypothèses!$B$3*(1+Hypothèses!$B$4)^INT((A10-1)/3)</f>
        <v/>
      </c>
      <c r="Q10">
        <f>0</f>
        <v/>
      </c>
      <c r="R10">
        <f>Q10*Hypothèses!$B$16</f>
        <v/>
      </c>
      <c r="S10">
        <f>O10*Hypothèses!$B$5</f>
        <v/>
      </c>
      <c r="T10">
        <f>O10-P10-R10-S10</f>
        <v/>
      </c>
      <c r="U10">
        <f>U9+T10</f>
        <v/>
      </c>
    </row>
    <row r="11">
      <c r="A11" t="n">
        <v>8</v>
      </c>
      <c r="B11">
        <f>INT((A11-1)/12)+1</f>
        <v/>
      </c>
      <c r="C11">
        <f>ROUND(IF(MOD($A11,12)=0,F11,(IF(11=4,0,C10))*(1-$I11)+IF((IF(11=4,0,C10))*(1-$I11)&lt;F11,(F11-(IF(11=4,0,C10))*(1-$I11))*Hypothèses!$B$10,0)),1)</f>
        <v/>
      </c>
      <c r="D11">
        <f>ROUND(IF(MOD($A11,12)=0,G11,(IF(11=4,0,D10))*(1-$I11)+IF((IF(11=4,0,D10))*(1-$I11)&lt;G11,(G11-(IF(11=4,0,D10))*(1-$I11))*Hypothèses!$B$10,0)),1)</f>
        <v/>
      </c>
      <c r="E11">
        <f>ROUND(IF(MOD($A11,12)=0,H11,(IF(11=4,0,E10))*(1-$I11)+IF((IF(11=4,0,E10))*(1-$I11)&lt;H11,(H11-(IF(11=4,0,E10))*(1-$I11))*Hypothèses!$B$10,0)),1)</f>
        <v/>
      </c>
      <c r="F11">
        <f>(IF(B11=1,0,IF(B11=2,Hypothèses!$B$25,IF(B11=3,Hypothèses!$C$25,Hypothèses!$D$25)))+(IF(B11=1,Hypothèses!$B$25,IF(B11=2,Hypothèses!$C$25,IF(B11=3,Hypothèses!$D$25,Hypothèses!$D$25)))-(IF(B11=1,0,IF(B11=2,Hypothèses!$B$25,IF(B11=3,Hypothèses!$C$25,Hypothèses!$D$25)))))*((A11)-INT((A11-1)/12)*12)/12)*$B$1</f>
        <v/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/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/>
      </c>
      <c r="I11">
        <f>IF(A11&lt;Hypothèses!$B$7,0,Hypothèses!$B$8*(1-Hypothèses!$B$9)^(A11-Hypothèses!$B$7))</f>
        <v/>
      </c>
      <c r="J11">
        <f>C11+D11+E11</f>
        <v/>
      </c>
      <c r="K11">
        <f>(C11*Hypothèses!$B$11+D11*Hypothèses!$B$12+E11*Hypothèses!$B$13)*(IF(B11=1,Hypothèses!$B$19,IF(B11=2,Hypothèses!$B$20,Hypothèses!$B$21))+(1-(IF(B11=1,Hypothèses!$B$19,IF(B11=2,Hypothèses!$B$20,Hypothèses!$B$21))))*11/12)</f>
        <v/>
      </c>
      <c r="L11">
        <f>J11*IF(B11=1,Hypothèses!$C$19,IF(B11=2,Hypothèses!$C$20,Hypothèses!$C$21))*IF(B11=1,Hypothèses!$D$19,IF(B11=2,Hypothèses!$D$20,Hypothèses!$D$21))</f>
        <v/>
      </c>
      <c r="M11">
        <f>IF(A11=18,IF($B$2&gt;=1,Hypothèses!$B$31,0),IF(AND(OR(A11=30,A11=34),$D$2&gt;=1),Hypothèses!$B$32*MIN(1,$D$2/3),0))</f>
        <v/>
      </c>
      <c r="N11">
        <f>K11+L11+M11</f>
        <v/>
      </c>
      <c r="O11">
        <f>N11/(1+Hypothèses!$B$6)</f>
        <v/>
      </c>
      <c r="P11">
        <f>Hypothèses!$B$3*(1+Hypothèses!$B$4)^INT((A11-1)/3)</f>
        <v/>
      </c>
      <c r="Q11">
        <f>0</f>
        <v/>
      </c>
      <c r="R11">
        <f>Q11*Hypothèses!$B$16</f>
        <v/>
      </c>
      <c r="S11">
        <f>O11*Hypothèses!$B$5</f>
        <v/>
      </c>
      <c r="T11">
        <f>O11-P11-R11-S11</f>
        <v/>
      </c>
      <c r="U11">
        <f>U10+T11</f>
        <v/>
      </c>
    </row>
    <row r="12">
      <c r="A12" t="n">
        <v>9</v>
      </c>
      <c r="B12">
        <f>INT((A12-1)/12)+1</f>
        <v/>
      </c>
      <c r="C12">
        <f>ROUND(IF(MOD($A12,12)=0,F12,(IF(12=4,0,C11))*(1-$I12)+IF((IF(12=4,0,C11))*(1-$I12)&lt;F12,(F12-(IF(12=4,0,C11))*(1-$I12))*Hypothèses!$B$10,0)),1)</f>
        <v/>
      </c>
      <c r="D12">
        <f>ROUND(IF(MOD($A12,12)=0,G12,(IF(12=4,0,D11))*(1-$I12)+IF((IF(12=4,0,D11))*(1-$I12)&lt;G12,(G12-(IF(12=4,0,D11))*(1-$I12))*Hypothèses!$B$10,0)),1)</f>
        <v/>
      </c>
      <c r="E12">
        <f>ROUND(IF(MOD($A12,12)=0,H12,(IF(12=4,0,E11))*(1-$I12)+IF((IF(12=4,0,E11))*(1-$I12)&lt;H12,(H12-(IF(12=4,0,E11))*(1-$I12))*Hypothèses!$B$10,0)),1)</f>
        <v/>
      </c>
      <c r="F12">
        <f>(IF(B12=1,0,IF(B12=2,Hypothèses!$B$25,IF(B12=3,Hypothèses!$C$25,Hypothèses!$D$25)))+(IF(B12=1,Hypothèses!$B$25,IF(B12=2,Hypothèses!$C$25,IF(B12=3,Hypothèses!$D$25,Hypothèses!$D$25)))-(IF(B12=1,0,IF(B12=2,Hypothèses!$B$25,IF(B12=3,Hypothèses!$C$25,Hypothèses!$D$25)))))*((A12)-INT((A12-1)/12)*12)/12)*$B$1</f>
        <v/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/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/>
      </c>
      <c r="I12">
        <f>IF(A12&lt;Hypothèses!$B$7,0,Hypothèses!$B$8*(1-Hypothèses!$B$9)^(A12-Hypothèses!$B$7))</f>
        <v/>
      </c>
      <c r="J12">
        <f>C12+D12+E12</f>
        <v/>
      </c>
      <c r="K12">
        <f>(C12*Hypothèses!$B$11+D12*Hypothèses!$B$12+E12*Hypothèses!$B$13)*(IF(B12=1,Hypothèses!$B$19,IF(B12=2,Hypothèses!$B$20,Hypothèses!$B$21))+(1-(IF(B12=1,Hypothèses!$B$19,IF(B12=2,Hypothèses!$B$20,Hypothèses!$B$21))))*11/12)</f>
        <v/>
      </c>
      <c r="L12">
        <f>J12*IF(B12=1,Hypothèses!$C$19,IF(B12=2,Hypothèses!$C$20,Hypothèses!$C$21))*IF(B12=1,Hypothèses!$D$19,IF(B12=2,Hypothèses!$D$20,Hypothèses!$D$21))</f>
        <v/>
      </c>
      <c r="M12">
        <f>IF(A12=18,IF($B$2&gt;=1,Hypothèses!$B$31,0),IF(AND(OR(A12=30,A12=34),$D$2&gt;=1),Hypothèses!$B$32*MIN(1,$D$2/3),0))</f>
        <v/>
      </c>
      <c r="N12">
        <f>K12+L12+M12</f>
        <v/>
      </c>
      <c r="O12">
        <f>N12/(1+Hypothèses!$B$6)</f>
        <v/>
      </c>
      <c r="P12">
        <f>Hypothèses!$B$3*(1+Hypothèses!$B$4)^INT((A12-1)/3)</f>
        <v/>
      </c>
      <c r="Q12">
        <f>0</f>
        <v/>
      </c>
      <c r="R12">
        <f>Q12*Hypothèses!$B$16</f>
        <v/>
      </c>
      <c r="S12">
        <f>O12*Hypothèses!$B$5</f>
        <v/>
      </c>
      <c r="T12">
        <f>O12-P12-R12-S12</f>
        <v/>
      </c>
      <c r="U12">
        <f>U11+T12</f>
        <v/>
      </c>
    </row>
    <row r="13">
      <c r="A13" t="n">
        <v>10</v>
      </c>
      <c r="B13">
        <f>INT((A13-1)/12)+1</f>
        <v/>
      </c>
      <c r="C13">
        <f>ROUND(IF(MOD($A13,12)=0,F13,(IF(13=4,0,C12))*(1-$I13)+IF((IF(13=4,0,C12))*(1-$I13)&lt;F13,(F13-(IF(13=4,0,C12))*(1-$I13))*Hypothèses!$B$10,0)),1)</f>
        <v/>
      </c>
      <c r="D13">
        <f>ROUND(IF(MOD($A13,12)=0,G13,(IF(13=4,0,D12))*(1-$I13)+IF((IF(13=4,0,D12))*(1-$I13)&lt;G13,(G13-(IF(13=4,0,D12))*(1-$I13))*Hypothèses!$B$10,0)),1)</f>
        <v/>
      </c>
      <c r="E13">
        <f>ROUND(IF(MOD($A13,12)=0,H13,(IF(13=4,0,E12))*(1-$I13)+IF((IF(13=4,0,E12))*(1-$I13)&lt;H13,(H13-(IF(13=4,0,E12))*(1-$I13))*Hypothèses!$B$10,0)),1)</f>
        <v/>
      </c>
      <c r="F13">
        <f>(IF(B13=1,0,IF(B13=2,Hypothèses!$B$25,IF(B13=3,Hypothèses!$C$25,Hypothèses!$D$25)))+(IF(B13=1,Hypothèses!$B$25,IF(B13=2,Hypothèses!$C$25,IF(B13=3,Hypothèses!$D$25,Hypothèses!$D$25)))-(IF(B13=1,0,IF(B13=2,Hypothèses!$B$25,IF(B13=3,Hypothèses!$C$25,Hypothèses!$D$25)))))*((A13)-INT((A13-1)/12)*12)/12)*$B$1</f>
        <v/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/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/>
      </c>
      <c r="I13">
        <f>IF(A13&lt;Hypothèses!$B$7,0,Hypothèses!$B$8*(1-Hypothèses!$B$9)^(A13-Hypothèses!$B$7))</f>
        <v/>
      </c>
      <c r="J13">
        <f>C13+D13+E13</f>
        <v/>
      </c>
      <c r="K13">
        <f>(C13*Hypothèses!$B$11+D13*Hypothèses!$B$12+E13*Hypothèses!$B$13)*(IF(B13=1,Hypothèses!$B$19,IF(B13=2,Hypothèses!$B$20,Hypothèses!$B$21))+(1-(IF(B13=1,Hypothèses!$B$19,IF(B13=2,Hypothèses!$B$20,Hypothèses!$B$21))))*11/12)</f>
        <v/>
      </c>
      <c r="L13">
        <f>J13*IF(B13=1,Hypothèses!$C$19,IF(B13=2,Hypothèses!$C$20,Hypothèses!$C$21))*IF(B13=1,Hypothèses!$D$19,IF(B13=2,Hypothèses!$D$20,Hypothèses!$D$21))</f>
        <v/>
      </c>
      <c r="M13">
        <f>IF(A13=18,IF($B$2&gt;=1,Hypothèses!$B$31,0),IF(AND(OR(A13=30,A13=34),$D$2&gt;=1),Hypothèses!$B$32*MIN(1,$D$2/3),0))</f>
        <v/>
      </c>
      <c r="N13">
        <f>K13+L13+M13</f>
        <v/>
      </c>
      <c r="O13">
        <f>N13/(1+Hypothèses!$B$6)</f>
        <v/>
      </c>
      <c r="P13">
        <f>Hypothèses!$B$3*(1+Hypothèses!$B$4)^INT((A13-1)/3)</f>
        <v/>
      </c>
      <c r="Q13">
        <f>0</f>
        <v/>
      </c>
      <c r="R13">
        <f>Q13*Hypothèses!$B$16</f>
        <v/>
      </c>
      <c r="S13">
        <f>O13*Hypothèses!$B$5</f>
        <v/>
      </c>
      <c r="T13">
        <f>O13-P13-R13-S13</f>
        <v/>
      </c>
      <c r="U13">
        <f>U12+T13</f>
        <v/>
      </c>
    </row>
    <row r="14">
      <c r="A14" t="n">
        <v>11</v>
      </c>
      <c r="B14">
        <f>INT((A14-1)/12)+1</f>
        <v/>
      </c>
      <c r="C14">
        <f>ROUND(IF(MOD($A14,12)=0,F14,(IF(14=4,0,C13))*(1-$I14)+IF((IF(14=4,0,C13))*(1-$I14)&lt;F14,(F14-(IF(14=4,0,C13))*(1-$I14))*Hypothèses!$B$10,0)),1)</f>
        <v/>
      </c>
      <c r="D14">
        <f>ROUND(IF(MOD($A14,12)=0,G14,(IF(14=4,0,D13))*(1-$I14)+IF((IF(14=4,0,D13))*(1-$I14)&lt;G14,(G14-(IF(14=4,0,D13))*(1-$I14))*Hypothèses!$B$10,0)),1)</f>
        <v/>
      </c>
      <c r="E14">
        <f>ROUND(IF(MOD($A14,12)=0,H14,(IF(14=4,0,E13))*(1-$I14)+IF((IF(14=4,0,E13))*(1-$I14)&lt;H14,(H14-(IF(14=4,0,E13))*(1-$I14))*Hypothèses!$B$10,0)),1)</f>
        <v/>
      </c>
      <c r="F14">
        <f>(IF(B14=1,0,IF(B14=2,Hypothèses!$B$25,IF(B14=3,Hypothèses!$C$25,Hypothèses!$D$25)))+(IF(B14=1,Hypothèses!$B$25,IF(B14=2,Hypothèses!$C$25,IF(B14=3,Hypothèses!$D$25,Hypothèses!$D$25)))-(IF(B14=1,0,IF(B14=2,Hypothèses!$B$25,IF(B14=3,Hypothèses!$C$25,Hypothèses!$D$25)))))*((A14)-INT((A14-1)/12)*12)/12)*$B$1</f>
        <v/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/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/>
      </c>
      <c r="I14">
        <f>IF(A14&lt;Hypothèses!$B$7,0,Hypothèses!$B$8*(1-Hypothèses!$B$9)^(A14-Hypothèses!$B$7))</f>
        <v/>
      </c>
      <c r="J14">
        <f>C14+D14+E14</f>
        <v/>
      </c>
      <c r="K14">
        <f>(C14*Hypothèses!$B$11+D14*Hypothèses!$B$12+E14*Hypothèses!$B$13)*(IF(B14=1,Hypothèses!$B$19,IF(B14=2,Hypothèses!$B$20,Hypothèses!$B$21))+(1-(IF(B14=1,Hypothèses!$B$19,IF(B14=2,Hypothèses!$B$20,Hypothèses!$B$21))))*11/12)</f>
        <v/>
      </c>
      <c r="L14">
        <f>J14*IF(B14=1,Hypothèses!$C$19,IF(B14=2,Hypothèses!$C$20,Hypothèses!$C$21))*IF(B14=1,Hypothèses!$D$19,IF(B14=2,Hypothèses!$D$20,Hypothèses!$D$21))</f>
        <v/>
      </c>
      <c r="M14">
        <f>IF(A14=18,IF($B$2&gt;=1,Hypothèses!$B$31,0),IF(AND(OR(A14=30,A14=34),$D$2&gt;=1),Hypothèses!$B$32*MIN(1,$D$2/3),0))</f>
        <v/>
      </c>
      <c r="N14">
        <f>K14+L14+M14</f>
        <v/>
      </c>
      <c r="O14">
        <f>N14/(1+Hypothèses!$B$6)</f>
        <v/>
      </c>
      <c r="P14">
        <f>Hypothèses!$B$3*(1+Hypothèses!$B$4)^INT((A14-1)/3)</f>
        <v/>
      </c>
      <c r="Q14">
        <f>0</f>
        <v/>
      </c>
      <c r="R14">
        <f>Q14*Hypothèses!$B$16</f>
        <v/>
      </c>
      <c r="S14">
        <f>O14*Hypothèses!$B$5</f>
        <v/>
      </c>
      <c r="T14">
        <f>O14-P14-R14-S14</f>
        <v/>
      </c>
      <c r="U14">
        <f>U13+T14</f>
        <v/>
      </c>
    </row>
    <row r="15">
      <c r="A15" t="n">
        <v>12</v>
      </c>
      <c r="B15">
        <f>INT((A15-1)/12)+1</f>
        <v/>
      </c>
      <c r="C15">
        <f>ROUND(IF(MOD($A15,12)=0,F15,(IF(15=4,0,C14))*(1-$I15)+IF((IF(15=4,0,C14))*(1-$I15)&lt;F15,(F15-(IF(15=4,0,C14))*(1-$I15))*Hypothèses!$B$10,0)),1)</f>
        <v/>
      </c>
      <c r="D15">
        <f>ROUND(IF(MOD($A15,12)=0,G15,(IF(15=4,0,D14))*(1-$I15)+IF((IF(15=4,0,D14))*(1-$I15)&lt;G15,(G15-(IF(15=4,0,D14))*(1-$I15))*Hypothèses!$B$10,0)),1)</f>
        <v/>
      </c>
      <c r="E15">
        <f>ROUND(IF(MOD($A15,12)=0,H15,(IF(15=4,0,E14))*(1-$I15)+IF((IF(15=4,0,E14))*(1-$I15)&lt;H15,(H15-(IF(15=4,0,E14))*(1-$I15))*Hypothèses!$B$10,0)),1)</f>
        <v/>
      </c>
      <c r="F15">
        <f>(IF(B15=1,0,IF(B15=2,Hypothèses!$B$25,IF(B15=3,Hypothèses!$C$25,Hypothèses!$D$25)))+(IF(B15=1,Hypothèses!$B$25,IF(B15=2,Hypothèses!$C$25,IF(B15=3,Hypothèses!$D$25,Hypothèses!$D$25)))-(IF(B15=1,0,IF(B15=2,Hypothèses!$B$25,IF(B15=3,Hypothèses!$C$25,Hypothèses!$D$25)))))*((A15)-INT((A15-1)/12)*12)/12)*$B$1</f>
        <v/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/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/>
      </c>
      <c r="I15">
        <f>IF(A15&lt;Hypothèses!$B$7,0,Hypothèses!$B$8*(1-Hypothèses!$B$9)^(A15-Hypothèses!$B$7))</f>
        <v/>
      </c>
      <c r="J15">
        <f>C15+D15+E15</f>
        <v/>
      </c>
      <c r="K15">
        <f>(C15*Hypothèses!$B$11+D15*Hypothèses!$B$12+E15*Hypothèses!$B$13)*(IF(B15=1,Hypothèses!$B$19,IF(B15=2,Hypothèses!$B$20,Hypothèses!$B$21))+(1-(IF(B15=1,Hypothèses!$B$19,IF(B15=2,Hypothèses!$B$20,Hypothèses!$B$21))))*11/12)</f>
        <v/>
      </c>
      <c r="L15">
        <f>J15*IF(B15=1,Hypothèses!$C$19,IF(B15=2,Hypothèses!$C$20,Hypothèses!$C$21))*IF(B15=1,Hypothèses!$D$19,IF(B15=2,Hypothèses!$D$20,Hypothèses!$D$21))</f>
        <v/>
      </c>
      <c r="M15">
        <f>IF(A15=18,IF($B$2&gt;=1,Hypothèses!$B$31,0),IF(AND(OR(A15=30,A15=34),$D$2&gt;=1),Hypothèses!$B$32*MIN(1,$D$2/3),0))</f>
        <v/>
      </c>
      <c r="N15">
        <f>K15+L15+M15</f>
        <v/>
      </c>
      <c r="O15">
        <f>N15/(1+Hypothèses!$B$6)</f>
        <v/>
      </c>
      <c r="P15">
        <f>Hypothèses!$B$3*(1+Hypothèses!$B$4)^INT((A15-1)/3)</f>
        <v/>
      </c>
      <c r="Q15">
        <f>0</f>
        <v/>
      </c>
      <c r="R15">
        <f>Q15*Hypothèses!$B$16</f>
        <v/>
      </c>
      <c r="S15">
        <f>O15*Hypothèses!$B$5</f>
        <v/>
      </c>
      <c r="T15">
        <f>O15-P15-R15-S15</f>
        <v/>
      </c>
      <c r="U15">
        <f>U14+T15</f>
        <v/>
      </c>
    </row>
    <row r="16">
      <c r="A16" t="n">
        <v>13</v>
      </c>
      <c r="B16">
        <f>INT((A16-1)/12)+1</f>
        <v/>
      </c>
      <c r="C16">
        <f>ROUND(IF(MOD($A16,12)=0,F16,(IF(16=4,0,C15))*(1-$I16)+IF((IF(16=4,0,C15))*(1-$I16)&lt;F16,(F16-(IF(16=4,0,C15))*(1-$I16))*Hypothèses!$B$10,0)),1)</f>
        <v/>
      </c>
      <c r="D16">
        <f>ROUND(IF(MOD($A16,12)=0,G16,(IF(16=4,0,D15))*(1-$I16)+IF((IF(16=4,0,D15))*(1-$I16)&lt;G16,(G16-(IF(16=4,0,D15))*(1-$I16))*Hypothèses!$B$10,0)),1)</f>
        <v/>
      </c>
      <c r="E16">
        <f>ROUND(IF(MOD($A16,12)=0,H16,(IF(16=4,0,E15))*(1-$I16)+IF((IF(16=4,0,E15))*(1-$I16)&lt;H16,(H16-(IF(16=4,0,E15))*(1-$I16))*Hypothèses!$B$10,0)),1)</f>
        <v/>
      </c>
      <c r="F16">
        <f>(IF(B16=1,0,IF(B16=2,Hypothèses!$B$25,IF(B16=3,Hypothèses!$C$25,Hypothèses!$D$25)))+(IF(B16=1,Hypothèses!$B$25,IF(B16=2,Hypothèses!$C$25,IF(B16=3,Hypothèses!$D$25,Hypothèses!$D$25)))-(IF(B16=1,0,IF(B16=2,Hypothèses!$B$25,IF(B16=3,Hypothèses!$C$25,Hypothèses!$D$25)))))*((A16)-INT((A16-1)/12)*12)/12)*$B$1</f>
        <v/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/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/>
      </c>
      <c r="I16">
        <f>IF(A16&lt;Hypothèses!$B$7,0,Hypothèses!$B$8*(1-Hypothèses!$B$9)^(A16-Hypothèses!$B$7))</f>
        <v/>
      </c>
      <c r="J16">
        <f>C16+D16+E16</f>
        <v/>
      </c>
      <c r="K16">
        <f>(C16*Hypothèses!$B$11+D16*Hypothèses!$B$12+E16*Hypothèses!$B$13)*(IF(B16=1,Hypothèses!$B$19,IF(B16=2,Hypothèses!$B$20,Hypothèses!$B$21))+(1-(IF(B16=1,Hypothèses!$B$19,IF(B16=2,Hypothèses!$B$20,Hypothèses!$B$21))))*11/12)</f>
        <v/>
      </c>
      <c r="L16">
        <f>J16*IF(B16=1,Hypothèses!$C$19,IF(B16=2,Hypothèses!$C$20,Hypothèses!$C$21))*IF(B16=1,Hypothèses!$D$19,IF(B16=2,Hypothèses!$D$20,Hypothèses!$D$21))</f>
        <v/>
      </c>
      <c r="M16">
        <f>IF(A16=18,IF($B$2&gt;=1,Hypothèses!$B$31,0),IF(AND(OR(A16=30,A16=34),$D$2&gt;=1),Hypothèses!$B$32*MIN(1,$D$2/3),0))</f>
        <v/>
      </c>
      <c r="N16">
        <f>K16+L16+M16</f>
        <v/>
      </c>
      <c r="O16">
        <f>N16/(1+Hypothèses!$B$6)</f>
        <v/>
      </c>
      <c r="P16">
        <f>Hypothèses!$B$3*(1+Hypothèses!$B$4)^INT((A16-1)/3)</f>
        <v/>
      </c>
      <c r="Q16">
        <f>0</f>
        <v/>
      </c>
      <c r="R16">
        <f>Q16*Hypothèses!$B$16</f>
        <v/>
      </c>
      <c r="S16">
        <f>O16*Hypothèses!$B$5</f>
        <v/>
      </c>
      <c r="T16">
        <f>O16-P16-R16-S16</f>
        <v/>
      </c>
      <c r="U16">
        <f>U15+T16</f>
        <v/>
      </c>
    </row>
    <row r="17">
      <c r="A17" t="n">
        <v>14</v>
      </c>
      <c r="B17">
        <f>INT((A17-1)/12)+1</f>
        <v/>
      </c>
      <c r="C17">
        <f>ROUND(IF(MOD($A17,12)=0,F17,(IF(17=4,0,C16))*(1-$I17)+IF((IF(17=4,0,C16))*(1-$I17)&lt;F17,(F17-(IF(17=4,0,C16))*(1-$I17))*Hypothèses!$B$10,0)),1)</f>
        <v/>
      </c>
      <c r="D17">
        <f>ROUND(IF(MOD($A17,12)=0,G17,(IF(17=4,0,D16))*(1-$I17)+IF((IF(17=4,0,D16))*(1-$I17)&lt;G17,(G17-(IF(17=4,0,D16))*(1-$I17))*Hypothèses!$B$10,0)),1)</f>
        <v/>
      </c>
      <c r="E17">
        <f>ROUND(IF(MOD($A17,12)=0,H17,(IF(17=4,0,E16))*(1-$I17)+IF((IF(17=4,0,E16))*(1-$I17)&lt;H17,(H17-(IF(17=4,0,E16))*(1-$I17))*Hypothèses!$B$10,0)),1)</f>
        <v/>
      </c>
      <c r="F17">
        <f>(IF(B17=1,0,IF(B17=2,Hypothèses!$B$25,IF(B17=3,Hypothèses!$C$25,Hypothèses!$D$25)))+(IF(B17=1,Hypothèses!$B$25,IF(B17=2,Hypothèses!$C$25,IF(B17=3,Hypothèses!$D$25,Hypothèses!$D$25)))-(IF(B17=1,0,IF(B17=2,Hypothèses!$B$25,IF(B17=3,Hypothèses!$C$25,Hypothèses!$D$25)))))*((A17)-INT((A17-1)/12)*12)/12)*$B$1</f>
        <v/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/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/>
      </c>
      <c r="I17">
        <f>IF(A17&lt;Hypothèses!$B$7,0,Hypothèses!$B$8*(1-Hypothèses!$B$9)^(A17-Hypothèses!$B$7))</f>
        <v/>
      </c>
      <c r="J17">
        <f>C17+D17+E17</f>
        <v/>
      </c>
      <c r="K17">
        <f>(C17*Hypothèses!$B$11+D17*Hypothèses!$B$12+E17*Hypothèses!$B$13)*(IF(B17=1,Hypothèses!$B$19,IF(B17=2,Hypothèses!$B$20,Hypothèses!$B$21))+(1-(IF(B17=1,Hypothèses!$B$19,IF(B17=2,Hypothèses!$B$20,Hypothèses!$B$21))))*11/12)</f>
        <v/>
      </c>
      <c r="L17">
        <f>J17*IF(B17=1,Hypothèses!$C$19,IF(B17=2,Hypothèses!$C$20,Hypothèses!$C$21))*IF(B17=1,Hypothèses!$D$19,IF(B17=2,Hypothèses!$D$20,Hypothèses!$D$21))</f>
        <v/>
      </c>
      <c r="M17">
        <f>IF(A17=18,IF($B$2&gt;=1,Hypothèses!$B$31,0),IF(AND(OR(A17=30,A17=34),$D$2&gt;=1),Hypothèses!$B$32*MIN(1,$D$2/3),0))</f>
        <v/>
      </c>
      <c r="N17">
        <f>K17+L17+M17</f>
        <v/>
      </c>
      <c r="O17">
        <f>N17/(1+Hypothèses!$B$6)</f>
        <v/>
      </c>
      <c r="P17">
        <f>Hypothèses!$B$3*(1+Hypothèses!$B$4)^INT((A17-1)/3)</f>
        <v/>
      </c>
      <c r="Q17">
        <f>0</f>
        <v/>
      </c>
      <c r="R17">
        <f>Q17*Hypothèses!$B$16</f>
        <v/>
      </c>
      <c r="S17">
        <f>O17*Hypothèses!$B$5</f>
        <v/>
      </c>
      <c r="T17">
        <f>O17-P17-R17-S17</f>
        <v/>
      </c>
      <c r="U17">
        <f>U16+T17</f>
        <v/>
      </c>
    </row>
    <row r="18">
      <c r="A18" t="n">
        <v>15</v>
      </c>
      <c r="B18">
        <f>INT((A18-1)/12)+1</f>
        <v/>
      </c>
      <c r="C18">
        <f>ROUND(IF(MOD($A18,12)=0,F18,(IF(18=4,0,C17))*(1-$I18)+IF((IF(18=4,0,C17))*(1-$I18)&lt;F18,(F18-(IF(18=4,0,C17))*(1-$I18))*Hypothèses!$B$10,0)),1)</f>
        <v/>
      </c>
      <c r="D18">
        <f>ROUND(IF(MOD($A18,12)=0,G18,(IF(18=4,0,D17))*(1-$I18)+IF((IF(18=4,0,D17))*(1-$I18)&lt;G18,(G18-(IF(18=4,0,D17))*(1-$I18))*Hypothèses!$B$10,0)),1)</f>
        <v/>
      </c>
      <c r="E18">
        <f>ROUND(IF(MOD($A18,12)=0,H18,(IF(18=4,0,E17))*(1-$I18)+IF((IF(18=4,0,E17))*(1-$I18)&lt;H18,(H18-(IF(18=4,0,E17))*(1-$I18))*Hypothèses!$B$10,0)),1)</f>
        <v/>
      </c>
      <c r="F18">
        <f>(IF(B18=1,0,IF(B18=2,Hypothèses!$B$25,IF(B18=3,Hypothèses!$C$25,Hypothèses!$D$25)))+(IF(B18=1,Hypothèses!$B$25,IF(B18=2,Hypothèses!$C$25,IF(B18=3,Hypothèses!$D$25,Hypothèses!$D$25)))-(IF(B18=1,0,IF(B18=2,Hypothèses!$B$25,IF(B18=3,Hypothèses!$C$25,Hypothèses!$D$25)))))*((A18)-INT((A18-1)/12)*12)/12)*$B$1</f>
        <v/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/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/>
      </c>
      <c r="I18">
        <f>IF(A18&lt;Hypothèses!$B$7,0,Hypothèses!$B$8*(1-Hypothèses!$B$9)^(A18-Hypothèses!$B$7))</f>
        <v/>
      </c>
      <c r="J18">
        <f>C18+D18+E18</f>
        <v/>
      </c>
      <c r="K18">
        <f>(C18*Hypothèses!$B$11+D18*Hypothèses!$B$12+E18*Hypothèses!$B$13)*(IF(B18=1,Hypothèses!$B$19,IF(B18=2,Hypothèses!$B$20,Hypothèses!$B$21))+(1-(IF(B18=1,Hypothèses!$B$19,IF(B18=2,Hypothèses!$B$20,Hypothèses!$B$21))))*11/12)</f>
        <v/>
      </c>
      <c r="L18">
        <f>J18*IF(B18=1,Hypothèses!$C$19,IF(B18=2,Hypothèses!$C$20,Hypothèses!$C$21))*IF(B18=1,Hypothèses!$D$19,IF(B18=2,Hypothèses!$D$20,Hypothèses!$D$21))</f>
        <v/>
      </c>
      <c r="M18">
        <f>IF(A18=18,IF($B$2&gt;=1,Hypothèses!$B$31,0),IF(AND(OR(A18=30,A18=34),$D$2&gt;=1),Hypothèses!$B$32*MIN(1,$D$2/3),0))</f>
        <v/>
      </c>
      <c r="N18">
        <f>K18+L18+M18</f>
        <v/>
      </c>
      <c r="O18">
        <f>N18/(1+Hypothèses!$B$6)</f>
        <v/>
      </c>
      <c r="P18">
        <f>Hypothèses!$B$3*(1+Hypothèses!$B$4)^INT((A18-1)/3)</f>
        <v/>
      </c>
      <c r="Q18">
        <f>0</f>
        <v/>
      </c>
      <c r="R18">
        <f>Q18*Hypothèses!$B$16</f>
        <v/>
      </c>
      <c r="S18">
        <f>O18*Hypothèses!$B$5</f>
        <v/>
      </c>
      <c r="T18">
        <f>O18-P18-R18-S18</f>
        <v/>
      </c>
      <c r="U18">
        <f>U17+T18</f>
        <v/>
      </c>
    </row>
    <row r="19">
      <c r="A19" t="n">
        <v>16</v>
      </c>
      <c r="B19">
        <f>INT((A19-1)/12)+1</f>
        <v/>
      </c>
      <c r="C19">
        <f>ROUND(IF(MOD($A19,12)=0,F19,(IF(19=4,0,C18))*(1-$I19)+IF((IF(19=4,0,C18))*(1-$I19)&lt;F19,(F19-(IF(19=4,0,C18))*(1-$I19))*Hypothèses!$B$10,0)),1)</f>
        <v/>
      </c>
      <c r="D19">
        <f>ROUND(IF(MOD($A19,12)=0,G19,(IF(19=4,0,D18))*(1-$I19)+IF((IF(19=4,0,D18))*(1-$I19)&lt;G19,(G19-(IF(19=4,0,D18))*(1-$I19))*Hypothèses!$B$10,0)),1)</f>
        <v/>
      </c>
      <c r="E19">
        <f>ROUND(IF(MOD($A19,12)=0,H19,(IF(19=4,0,E18))*(1-$I19)+IF((IF(19=4,0,E18))*(1-$I19)&lt;H19,(H19-(IF(19=4,0,E18))*(1-$I19))*Hypothèses!$B$10,0)),1)</f>
        <v/>
      </c>
      <c r="F19">
        <f>(IF(B19=1,0,IF(B19=2,Hypothèses!$B$25,IF(B19=3,Hypothèses!$C$25,Hypothèses!$D$25)))+(IF(B19=1,Hypothèses!$B$25,IF(B19=2,Hypothèses!$C$25,IF(B19=3,Hypothèses!$D$25,Hypothèses!$D$25)))-(IF(B19=1,0,IF(B19=2,Hypothèses!$B$25,IF(B19=3,Hypothèses!$C$25,Hypothèses!$D$25)))))*((A19)-INT((A19-1)/12)*12)/12)*$B$1</f>
        <v/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/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/>
      </c>
      <c r="I19">
        <f>IF(A19&lt;Hypothèses!$B$7,0,Hypothèses!$B$8*(1-Hypothèses!$B$9)^(A19-Hypothèses!$B$7))</f>
        <v/>
      </c>
      <c r="J19">
        <f>C19+D19+E19</f>
        <v/>
      </c>
      <c r="K19">
        <f>(C19*Hypothèses!$B$11+D19*Hypothèses!$B$12+E19*Hypothèses!$B$13)*(IF(B19=1,Hypothèses!$B$19,IF(B19=2,Hypothèses!$B$20,Hypothèses!$B$21))+(1-(IF(B19=1,Hypothèses!$B$19,IF(B19=2,Hypothèses!$B$20,Hypothèses!$B$21))))*11/12)</f>
        <v/>
      </c>
      <c r="L19">
        <f>J19*IF(B19=1,Hypothèses!$C$19,IF(B19=2,Hypothèses!$C$20,Hypothèses!$C$21))*IF(B19=1,Hypothèses!$D$19,IF(B19=2,Hypothèses!$D$20,Hypothèses!$D$21))</f>
        <v/>
      </c>
      <c r="M19">
        <f>IF(A19=18,IF($B$2&gt;=1,Hypothèses!$B$31,0),IF(AND(OR(A19=30,A19=34),$D$2&gt;=1),Hypothèses!$B$32*MIN(1,$D$2/3),0))</f>
        <v/>
      </c>
      <c r="N19">
        <f>K19+L19+M19</f>
        <v/>
      </c>
      <c r="O19">
        <f>N19/(1+Hypothèses!$B$6)</f>
        <v/>
      </c>
      <c r="P19">
        <f>Hypothèses!$B$3*(1+Hypothèses!$B$4)^INT((A19-1)/3)</f>
        <v/>
      </c>
      <c r="Q19">
        <f>0</f>
        <v/>
      </c>
      <c r="R19">
        <f>Q19*Hypothèses!$B$16</f>
        <v/>
      </c>
      <c r="S19">
        <f>O19*Hypothèses!$B$5</f>
        <v/>
      </c>
      <c r="T19">
        <f>O19-P19-R19-S19</f>
        <v/>
      </c>
      <c r="U19">
        <f>U18+T19</f>
        <v/>
      </c>
    </row>
    <row r="20">
      <c r="A20" t="n">
        <v>17</v>
      </c>
      <c r="B20">
        <f>INT((A20-1)/12)+1</f>
        <v/>
      </c>
      <c r="C20">
        <f>ROUND(IF(MOD($A20,12)=0,F20,(IF(20=4,0,C19))*(1-$I20)+IF((IF(20=4,0,C19))*(1-$I20)&lt;F20,(F20-(IF(20=4,0,C19))*(1-$I20))*Hypothèses!$B$10,0)),1)</f>
        <v/>
      </c>
      <c r="D20">
        <f>ROUND(IF(MOD($A20,12)=0,G20,(IF(20=4,0,D19))*(1-$I20)+IF((IF(20=4,0,D19))*(1-$I20)&lt;G20,(G20-(IF(20=4,0,D19))*(1-$I20))*Hypothèses!$B$10,0)),1)</f>
        <v/>
      </c>
      <c r="E20">
        <f>ROUND(IF(MOD($A20,12)=0,H20,(IF(20=4,0,E19))*(1-$I20)+IF((IF(20=4,0,E19))*(1-$I20)&lt;H20,(H20-(IF(20=4,0,E19))*(1-$I20))*Hypothèses!$B$10,0)),1)</f>
        <v/>
      </c>
      <c r="F20">
        <f>(IF(B20=1,0,IF(B20=2,Hypothèses!$B$25,IF(B20=3,Hypothèses!$C$25,Hypothèses!$D$25)))+(IF(B20=1,Hypothèses!$B$25,IF(B20=2,Hypothèses!$C$25,IF(B20=3,Hypothèses!$D$25,Hypothèses!$D$25)))-(IF(B20=1,0,IF(B20=2,Hypothèses!$B$25,IF(B20=3,Hypothèses!$C$25,Hypothèses!$D$25)))))*((A20)-INT((A20-1)/12)*12)/12)*$B$1</f>
        <v/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/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/>
      </c>
      <c r="I20">
        <f>IF(A20&lt;Hypothèses!$B$7,0,Hypothèses!$B$8*(1-Hypothèses!$B$9)^(A20-Hypothèses!$B$7))</f>
        <v/>
      </c>
      <c r="J20">
        <f>C20+D20+E20</f>
        <v/>
      </c>
      <c r="K20">
        <f>(C20*Hypothèses!$B$11+D20*Hypothèses!$B$12+E20*Hypothèses!$B$13)*(IF(B20=1,Hypothèses!$B$19,IF(B20=2,Hypothèses!$B$20,Hypothèses!$B$21))+(1-(IF(B20=1,Hypothèses!$B$19,IF(B20=2,Hypothèses!$B$20,Hypothèses!$B$21))))*11/12)</f>
        <v/>
      </c>
      <c r="L20">
        <f>J20*IF(B20=1,Hypothèses!$C$19,IF(B20=2,Hypothèses!$C$20,Hypothèses!$C$21))*IF(B20=1,Hypothèses!$D$19,IF(B20=2,Hypothèses!$D$20,Hypothèses!$D$21))</f>
        <v/>
      </c>
      <c r="M20">
        <f>IF(A20=18,IF($B$2&gt;=1,Hypothèses!$B$31,0),IF(AND(OR(A20=30,A20=34),$D$2&gt;=1),Hypothèses!$B$32*MIN(1,$D$2/3),0))</f>
        <v/>
      </c>
      <c r="N20">
        <f>K20+L20+M20</f>
        <v/>
      </c>
      <c r="O20">
        <f>N20/(1+Hypothèses!$B$6)</f>
        <v/>
      </c>
      <c r="P20">
        <f>Hypothèses!$B$3*(1+Hypothèses!$B$4)^INT((A20-1)/3)</f>
        <v/>
      </c>
      <c r="Q20">
        <f>0</f>
        <v/>
      </c>
      <c r="R20">
        <f>Q20*Hypothèses!$B$16</f>
        <v/>
      </c>
      <c r="S20">
        <f>O20*Hypothèses!$B$5</f>
        <v/>
      </c>
      <c r="T20">
        <f>O20-P20-R20-S20</f>
        <v/>
      </c>
      <c r="U20">
        <f>U19+T20</f>
        <v/>
      </c>
    </row>
    <row r="21">
      <c r="A21" t="n">
        <v>18</v>
      </c>
      <c r="B21">
        <f>INT((A21-1)/12)+1</f>
        <v/>
      </c>
      <c r="C21">
        <f>ROUND(IF(MOD($A21,12)=0,F21,(IF(21=4,0,C20))*(1-$I21)+IF((IF(21=4,0,C20))*(1-$I21)&lt;F21,(F21-(IF(21=4,0,C20))*(1-$I21))*Hypothèses!$B$10,0)),1)</f>
        <v/>
      </c>
      <c r="D21">
        <f>ROUND(IF(MOD($A21,12)=0,G21,(IF(21=4,0,D20))*(1-$I21)+IF((IF(21=4,0,D20))*(1-$I21)&lt;G21,(G21-(IF(21=4,0,D20))*(1-$I21))*Hypothèses!$B$10,0)),1)</f>
        <v/>
      </c>
      <c r="E21">
        <f>ROUND(IF(MOD($A21,12)=0,H21,(IF(21=4,0,E20))*(1-$I21)+IF((IF(21=4,0,E20))*(1-$I21)&lt;H21,(H21-(IF(21=4,0,E20))*(1-$I21))*Hypothèses!$B$10,0)),1)</f>
        <v/>
      </c>
      <c r="F21">
        <f>(IF(B21=1,0,IF(B21=2,Hypothèses!$B$25,IF(B21=3,Hypothèses!$C$25,Hypothèses!$D$25)))+(IF(B21=1,Hypothèses!$B$25,IF(B21=2,Hypothèses!$C$25,IF(B21=3,Hypothèses!$D$25,Hypothèses!$D$25)))-(IF(B21=1,0,IF(B21=2,Hypothèses!$B$25,IF(B21=3,Hypothèses!$C$25,Hypothèses!$D$25)))))*((A21)-INT((A21-1)/12)*12)/12)*$B$1</f>
        <v/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/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/>
      </c>
      <c r="I21">
        <f>IF(A21&lt;Hypothèses!$B$7,0,Hypothèses!$B$8*(1-Hypothèses!$B$9)^(A21-Hypothèses!$B$7))</f>
        <v/>
      </c>
      <c r="J21">
        <f>C21+D21+E21</f>
        <v/>
      </c>
      <c r="K21">
        <f>(C21*Hypothèses!$B$11+D21*Hypothèses!$B$12+E21*Hypothèses!$B$13)*(IF(B21=1,Hypothèses!$B$19,IF(B21=2,Hypothèses!$B$20,Hypothèses!$B$21))+(1-(IF(B21=1,Hypothèses!$B$19,IF(B21=2,Hypothèses!$B$20,Hypothèses!$B$21))))*11/12)</f>
        <v/>
      </c>
      <c r="L21">
        <f>J21*IF(B21=1,Hypothèses!$C$19,IF(B21=2,Hypothèses!$C$20,Hypothèses!$C$21))*IF(B21=1,Hypothèses!$D$19,IF(B21=2,Hypothèses!$D$20,Hypothèses!$D$21))</f>
        <v/>
      </c>
      <c r="M21">
        <f>IF(A21=18,IF($B$2&gt;=1,Hypothèses!$B$31,0),IF(AND(OR(A21=30,A21=34),$D$2&gt;=1),Hypothèses!$B$32*MIN(1,$D$2/3),0))</f>
        <v/>
      </c>
      <c r="N21">
        <f>K21+L21+M21</f>
        <v/>
      </c>
      <c r="O21">
        <f>N21/(1+Hypothèses!$B$6)</f>
        <v/>
      </c>
      <c r="P21">
        <f>Hypothèses!$B$3*(1+Hypothèses!$B$4)^INT((A21-1)/3)</f>
        <v/>
      </c>
      <c r="Q21">
        <f>0</f>
        <v/>
      </c>
      <c r="R21">
        <f>Q21*Hypothèses!$B$16</f>
        <v/>
      </c>
      <c r="S21">
        <f>O21*Hypothèses!$B$5</f>
        <v/>
      </c>
      <c r="T21">
        <f>O21-P21-R21-S21</f>
        <v/>
      </c>
      <c r="U21">
        <f>U20+T21</f>
        <v/>
      </c>
    </row>
    <row r="22">
      <c r="A22" t="n">
        <v>19</v>
      </c>
      <c r="B22">
        <f>INT((A22-1)/12)+1</f>
        <v/>
      </c>
      <c r="C22">
        <f>ROUND(IF(MOD($A22,12)=0,F22,(IF(22=4,0,C21))*(1-$I22)+IF((IF(22=4,0,C21))*(1-$I22)&lt;F22,(F22-(IF(22=4,0,C21))*(1-$I22))*Hypothèses!$B$10,0)),1)</f>
        <v/>
      </c>
      <c r="D22">
        <f>ROUND(IF(MOD($A22,12)=0,G22,(IF(22=4,0,D21))*(1-$I22)+IF((IF(22=4,0,D21))*(1-$I22)&lt;G22,(G22-(IF(22=4,0,D21))*(1-$I22))*Hypothèses!$B$10,0)),1)</f>
        <v/>
      </c>
      <c r="E22">
        <f>ROUND(IF(MOD($A22,12)=0,H22,(IF(22=4,0,E21))*(1-$I22)+IF((IF(22=4,0,E21))*(1-$I22)&lt;H22,(H22-(IF(22=4,0,E21))*(1-$I22))*Hypothèses!$B$10,0)),1)</f>
        <v/>
      </c>
      <c r="F22">
        <f>(IF(B22=1,0,IF(B22=2,Hypothèses!$B$25,IF(B22=3,Hypothèses!$C$25,Hypothèses!$D$25)))+(IF(B22=1,Hypothèses!$B$25,IF(B22=2,Hypothèses!$C$25,IF(B22=3,Hypothèses!$D$25,Hypothèses!$D$25)))-(IF(B22=1,0,IF(B22=2,Hypothèses!$B$25,IF(B22=3,Hypothèses!$C$25,Hypothèses!$D$25)))))*((A22)-INT((A22-1)/12)*12)/12)*$B$1</f>
        <v/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/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/>
      </c>
      <c r="I22">
        <f>IF(A22&lt;Hypothèses!$B$7,0,Hypothèses!$B$8*(1-Hypothèses!$B$9)^(A22-Hypothèses!$B$7))</f>
        <v/>
      </c>
      <c r="J22">
        <f>C22+D22+E22</f>
        <v/>
      </c>
      <c r="K22">
        <f>(C22*Hypothèses!$B$11+D22*Hypothèses!$B$12+E22*Hypothèses!$B$13)*(IF(B22=1,Hypothèses!$B$19,IF(B22=2,Hypothèses!$B$20,Hypothèses!$B$21))+(1-(IF(B22=1,Hypothèses!$B$19,IF(B22=2,Hypothèses!$B$20,Hypothèses!$B$21))))*11/12)</f>
        <v/>
      </c>
      <c r="L22">
        <f>J22*IF(B22=1,Hypothèses!$C$19,IF(B22=2,Hypothèses!$C$20,Hypothèses!$C$21))*IF(B22=1,Hypothèses!$D$19,IF(B22=2,Hypothèses!$D$20,Hypothèses!$D$21))</f>
        <v/>
      </c>
      <c r="M22">
        <f>IF(A22=18,IF($B$2&gt;=1,Hypothèses!$B$31,0),IF(AND(OR(A22=30,A22=34),$D$2&gt;=1),Hypothèses!$B$32*MIN(1,$D$2/3),0))</f>
        <v/>
      </c>
      <c r="N22">
        <f>K22+L22+M22</f>
        <v/>
      </c>
      <c r="O22">
        <f>N22/(1+Hypothèses!$B$6)</f>
        <v/>
      </c>
      <c r="P22">
        <f>Hypothèses!$B$3*(1+Hypothèses!$B$4)^INT((A22-1)/3)</f>
        <v/>
      </c>
      <c r="Q22">
        <f>0</f>
        <v/>
      </c>
      <c r="R22">
        <f>Q22*Hypothèses!$B$16</f>
        <v/>
      </c>
      <c r="S22">
        <f>O22*Hypothèses!$B$5</f>
        <v/>
      </c>
      <c r="T22">
        <f>O22-P22-R22-S22</f>
        <v/>
      </c>
      <c r="U22">
        <f>U21+T22</f>
        <v/>
      </c>
    </row>
    <row r="23">
      <c r="A23" t="n">
        <v>20</v>
      </c>
      <c r="B23">
        <f>INT((A23-1)/12)+1</f>
        <v/>
      </c>
      <c r="C23">
        <f>ROUND(IF(MOD($A23,12)=0,F23,(IF(23=4,0,C22))*(1-$I23)+IF((IF(23=4,0,C22))*(1-$I23)&lt;F23,(F23-(IF(23=4,0,C22))*(1-$I23))*Hypothèses!$B$10,0)),1)</f>
        <v/>
      </c>
      <c r="D23">
        <f>ROUND(IF(MOD($A23,12)=0,G23,(IF(23=4,0,D22))*(1-$I23)+IF((IF(23=4,0,D22))*(1-$I23)&lt;G23,(G23-(IF(23=4,0,D22))*(1-$I23))*Hypothèses!$B$10,0)),1)</f>
        <v/>
      </c>
      <c r="E23">
        <f>ROUND(IF(MOD($A23,12)=0,H23,(IF(23=4,0,E22))*(1-$I23)+IF((IF(23=4,0,E22))*(1-$I23)&lt;H23,(H23-(IF(23=4,0,E22))*(1-$I23))*Hypothèses!$B$10,0)),1)</f>
        <v/>
      </c>
      <c r="F23">
        <f>(IF(B23=1,0,IF(B23=2,Hypothèses!$B$25,IF(B23=3,Hypothèses!$C$25,Hypothèses!$D$25)))+(IF(B23=1,Hypothèses!$B$25,IF(B23=2,Hypothèses!$C$25,IF(B23=3,Hypothèses!$D$25,Hypothèses!$D$25)))-(IF(B23=1,0,IF(B23=2,Hypothèses!$B$25,IF(B23=3,Hypothèses!$C$25,Hypothèses!$D$25)))))*((A23)-INT((A23-1)/12)*12)/12)*$B$1</f>
        <v/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/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/>
      </c>
      <c r="I23">
        <f>IF(A23&lt;Hypothèses!$B$7,0,Hypothèses!$B$8*(1-Hypothèses!$B$9)^(A23-Hypothèses!$B$7))</f>
        <v/>
      </c>
      <c r="J23">
        <f>C23+D23+E23</f>
        <v/>
      </c>
      <c r="K23">
        <f>(C23*Hypothèses!$B$11+D23*Hypothèses!$B$12+E23*Hypothèses!$B$13)*(IF(B23=1,Hypothèses!$B$19,IF(B23=2,Hypothèses!$B$20,Hypothèses!$B$21))+(1-(IF(B23=1,Hypothèses!$B$19,IF(B23=2,Hypothèses!$B$20,Hypothèses!$B$21))))*11/12)</f>
        <v/>
      </c>
      <c r="L23">
        <f>J23*IF(B23=1,Hypothèses!$C$19,IF(B23=2,Hypothèses!$C$20,Hypothèses!$C$21))*IF(B23=1,Hypothèses!$D$19,IF(B23=2,Hypothèses!$D$20,Hypothèses!$D$21))</f>
        <v/>
      </c>
      <c r="M23">
        <f>IF(A23=18,IF($B$2&gt;=1,Hypothèses!$B$31,0),IF(AND(OR(A23=30,A23=34),$D$2&gt;=1),Hypothèses!$B$32*MIN(1,$D$2/3),0))</f>
        <v/>
      </c>
      <c r="N23">
        <f>K23+L23+M23</f>
        <v/>
      </c>
      <c r="O23">
        <f>N23/(1+Hypothèses!$B$6)</f>
        <v/>
      </c>
      <c r="P23">
        <f>Hypothèses!$B$3*(1+Hypothèses!$B$4)^INT((A23-1)/3)</f>
        <v/>
      </c>
      <c r="Q23">
        <f>0</f>
        <v/>
      </c>
      <c r="R23">
        <f>Q23*Hypothèses!$B$16</f>
        <v/>
      </c>
      <c r="S23">
        <f>O23*Hypothèses!$B$5</f>
        <v/>
      </c>
      <c r="T23">
        <f>O23-P23-R23-S23</f>
        <v/>
      </c>
      <c r="U23">
        <f>U22+T23</f>
        <v/>
      </c>
    </row>
    <row r="24">
      <c r="A24" t="n">
        <v>21</v>
      </c>
      <c r="B24">
        <f>INT((A24-1)/12)+1</f>
        <v/>
      </c>
      <c r="C24">
        <f>ROUND(IF(MOD($A24,12)=0,F24,(IF(24=4,0,C23))*(1-$I24)+IF((IF(24=4,0,C23))*(1-$I24)&lt;F24,(F24-(IF(24=4,0,C23))*(1-$I24))*Hypothèses!$B$10,0)),1)</f>
        <v/>
      </c>
      <c r="D24">
        <f>ROUND(IF(MOD($A24,12)=0,G24,(IF(24=4,0,D23))*(1-$I24)+IF((IF(24=4,0,D23))*(1-$I24)&lt;G24,(G24-(IF(24=4,0,D23))*(1-$I24))*Hypothèses!$B$10,0)),1)</f>
        <v/>
      </c>
      <c r="E24">
        <f>ROUND(IF(MOD($A24,12)=0,H24,(IF(24=4,0,E23))*(1-$I24)+IF((IF(24=4,0,E23))*(1-$I24)&lt;H24,(H24-(IF(24=4,0,E23))*(1-$I24))*Hypothèses!$B$10,0)),1)</f>
        <v/>
      </c>
      <c r="F24">
        <f>(IF(B24=1,0,IF(B24=2,Hypothèses!$B$25,IF(B24=3,Hypothèses!$C$25,Hypothèses!$D$25)))+(IF(B24=1,Hypothèses!$B$25,IF(B24=2,Hypothèses!$C$25,IF(B24=3,Hypothèses!$D$25,Hypothèses!$D$25)))-(IF(B24=1,0,IF(B24=2,Hypothèses!$B$25,IF(B24=3,Hypothèses!$C$25,Hypothèses!$D$25)))))*((A24)-INT((A24-1)/12)*12)/12)*$B$1</f>
        <v/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/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/>
      </c>
      <c r="I24">
        <f>IF(A24&lt;Hypothèses!$B$7,0,Hypothèses!$B$8*(1-Hypothèses!$B$9)^(A24-Hypothèses!$B$7))</f>
        <v/>
      </c>
      <c r="J24">
        <f>C24+D24+E24</f>
        <v/>
      </c>
      <c r="K24">
        <f>(C24*Hypothèses!$B$11+D24*Hypothèses!$B$12+E24*Hypothèses!$B$13)*(IF(B24=1,Hypothèses!$B$19,IF(B24=2,Hypothèses!$B$20,Hypothèses!$B$21))+(1-(IF(B24=1,Hypothèses!$B$19,IF(B24=2,Hypothèses!$B$20,Hypothèses!$B$21))))*11/12)</f>
        <v/>
      </c>
      <c r="L24">
        <f>J24*IF(B24=1,Hypothèses!$C$19,IF(B24=2,Hypothèses!$C$20,Hypothèses!$C$21))*IF(B24=1,Hypothèses!$D$19,IF(B24=2,Hypothèses!$D$20,Hypothèses!$D$21))</f>
        <v/>
      </c>
      <c r="M24">
        <f>IF(A24=18,IF($B$2&gt;=1,Hypothèses!$B$31,0),IF(AND(OR(A24=30,A24=34),$D$2&gt;=1),Hypothèses!$B$32*MIN(1,$D$2/3),0))</f>
        <v/>
      </c>
      <c r="N24">
        <f>K24+L24+M24</f>
        <v/>
      </c>
      <c r="O24">
        <f>N24/(1+Hypothèses!$B$6)</f>
        <v/>
      </c>
      <c r="P24">
        <f>Hypothèses!$B$3*(1+Hypothèses!$B$4)^INT((A24-1)/3)</f>
        <v/>
      </c>
      <c r="Q24">
        <f>0</f>
        <v/>
      </c>
      <c r="R24">
        <f>Q24*Hypothèses!$B$16</f>
        <v/>
      </c>
      <c r="S24">
        <f>O24*Hypothèses!$B$5</f>
        <v/>
      </c>
      <c r="T24">
        <f>O24-P24-R24-S24</f>
        <v/>
      </c>
      <c r="U24">
        <f>U23+T24</f>
        <v/>
      </c>
    </row>
    <row r="25">
      <c r="A25" t="n">
        <v>22</v>
      </c>
      <c r="B25">
        <f>INT((A25-1)/12)+1</f>
        <v/>
      </c>
      <c r="C25">
        <f>ROUND(IF(MOD($A25,12)=0,F25,(IF(25=4,0,C24))*(1-$I25)+IF((IF(25=4,0,C24))*(1-$I25)&lt;F25,(F25-(IF(25=4,0,C24))*(1-$I25))*Hypothèses!$B$10,0)),1)</f>
        <v/>
      </c>
      <c r="D25">
        <f>ROUND(IF(MOD($A25,12)=0,G25,(IF(25=4,0,D24))*(1-$I25)+IF((IF(25=4,0,D24))*(1-$I25)&lt;G25,(G25-(IF(25=4,0,D24))*(1-$I25))*Hypothèses!$B$10,0)),1)</f>
        <v/>
      </c>
      <c r="E25">
        <f>ROUND(IF(MOD($A25,12)=0,H25,(IF(25=4,0,E24))*(1-$I25)+IF((IF(25=4,0,E24))*(1-$I25)&lt;H25,(H25-(IF(25=4,0,E24))*(1-$I25))*Hypothèses!$B$10,0)),1)</f>
        <v/>
      </c>
      <c r="F25">
        <f>(IF(B25=1,0,IF(B25=2,Hypothèses!$B$25,IF(B25=3,Hypothèses!$C$25,Hypothèses!$D$25)))+(IF(B25=1,Hypothèses!$B$25,IF(B25=2,Hypothèses!$C$25,IF(B25=3,Hypothèses!$D$25,Hypothèses!$D$25)))-(IF(B25=1,0,IF(B25=2,Hypothèses!$B$25,IF(B25=3,Hypothèses!$C$25,Hypothèses!$D$25)))))*((A25)-INT((A25-1)/12)*12)/12)*$B$1</f>
        <v/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/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/>
      </c>
      <c r="I25">
        <f>IF(A25&lt;Hypothèses!$B$7,0,Hypothèses!$B$8*(1-Hypothèses!$B$9)^(A25-Hypothèses!$B$7))</f>
        <v/>
      </c>
      <c r="J25">
        <f>C25+D25+E25</f>
        <v/>
      </c>
      <c r="K25">
        <f>(C25*Hypothèses!$B$11+D25*Hypothèses!$B$12+E25*Hypothèses!$B$13)*(IF(B25=1,Hypothèses!$B$19,IF(B25=2,Hypothèses!$B$20,Hypothèses!$B$21))+(1-(IF(B25=1,Hypothèses!$B$19,IF(B25=2,Hypothèses!$B$20,Hypothèses!$B$21))))*11/12)</f>
        <v/>
      </c>
      <c r="L25">
        <f>J25*IF(B25=1,Hypothèses!$C$19,IF(B25=2,Hypothèses!$C$20,Hypothèses!$C$21))*IF(B25=1,Hypothèses!$D$19,IF(B25=2,Hypothèses!$D$20,Hypothèses!$D$21))</f>
        <v/>
      </c>
      <c r="M25">
        <f>IF(A25=18,IF($B$2&gt;=1,Hypothèses!$B$31,0),IF(AND(OR(A25=30,A25=34),$D$2&gt;=1),Hypothèses!$B$32*MIN(1,$D$2/3),0))</f>
        <v/>
      </c>
      <c r="N25">
        <f>K25+L25+M25</f>
        <v/>
      </c>
      <c r="O25">
        <f>N25/(1+Hypothèses!$B$6)</f>
        <v/>
      </c>
      <c r="P25">
        <f>Hypothèses!$B$3*(1+Hypothèses!$B$4)^INT((A25-1)/3)</f>
        <v/>
      </c>
      <c r="Q25">
        <f>0</f>
        <v/>
      </c>
      <c r="R25">
        <f>Q25*Hypothèses!$B$16</f>
        <v/>
      </c>
      <c r="S25">
        <f>O25*Hypothèses!$B$5</f>
        <v/>
      </c>
      <c r="T25">
        <f>O25-P25-R25-S25</f>
        <v/>
      </c>
      <c r="U25">
        <f>U24+T25</f>
        <v/>
      </c>
    </row>
    <row r="26">
      <c r="A26" t="n">
        <v>23</v>
      </c>
      <c r="B26">
        <f>INT((A26-1)/12)+1</f>
        <v/>
      </c>
      <c r="C26">
        <f>ROUND(IF(MOD($A26,12)=0,F26,(IF(26=4,0,C25))*(1-$I26)+IF((IF(26=4,0,C25))*(1-$I26)&lt;F26,(F26-(IF(26=4,0,C25))*(1-$I26))*Hypothèses!$B$10,0)),1)</f>
        <v/>
      </c>
      <c r="D26">
        <f>ROUND(IF(MOD($A26,12)=0,G26,(IF(26=4,0,D25))*(1-$I26)+IF((IF(26=4,0,D25))*(1-$I26)&lt;G26,(G26-(IF(26=4,0,D25))*(1-$I26))*Hypothèses!$B$10,0)),1)</f>
        <v/>
      </c>
      <c r="E26">
        <f>ROUND(IF(MOD($A26,12)=0,H26,(IF(26=4,0,E25))*(1-$I26)+IF((IF(26=4,0,E25))*(1-$I26)&lt;H26,(H26-(IF(26=4,0,E25))*(1-$I26))*Hypothèses!$B$10,0)),1)</f>
        <v/>
      </c>
      <c r="F26">
        <f>(IF(B26=1,0,IF(B26=2,Hypothèses!$B$25,IF(B26=3,Hypothèses!$C$25,Hypothèses!$D$25)))+(IF(B26=1,Hypothèses!$B$25,IF(B26=2,Hypothèses!$C$25,IF(B26=3,Hypothèses!$D$25,Hypothèses!$D$25)))-(IF(B26=1,0,IF(B26=2,Hypothèses!$B$25,IF(B26=3,Hypothèses!$C$25,Hypothèses!$D$25)))))*((A26)-INT((A26-1)/12)*12)/12)*$B$1</f>
        <v/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/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/>
      </c>
      <c r="I26">
        <f>IF(A26&lt;Hypothèses!$B$7,0,Hypothèses!$B$8*(1-Hypothèses!$B$9)^(A26-Hypothèses!$B$7))</f>
        <v/>
      </c>
      <c r="J26">
        <f>C26+D26+E26</f>
        <v/>
      </c>
      <c r="K26">
        <f>(C26*Hypothèses!$B$11+D26*Hypothèses!$B$12+E26*Hypothèses!$B$13)*(IF(B26=1,Hypothèses!$B$19,IF(B26=2,Hypothèses!$B$20,Hypothèses!$B$21))+(1-(IF(B26=1,Hypothèses!$B$19,IF(B26=2,Hypothèses!$B$20,Hypothèses!$B$21))))*11/12)</f>
        <v/>
      </c>
      <c r="L26">
        <f>J26*IF(B26=1,Hypothèses!$C$19,IF(B26=2,Hypothèses!$C$20,Hypothèses!$C$21))*IF(B26=1,Hypothèses!$D$19,IF(B26=2,Hypothèses!$D$20,Hypothèses!$D$21))</f>
        <v/>
      </c>
      <c r="M26">
        <f>IF(A26=18,IF($B$2&gt;=1,Hypothèses!$B$31,0),IF(AND(OR(A26=30,A26=34),$D$2&gt;=1),Hypothèses!$B$32*MIN(1,$D$2/3),0))</f>
        <v/>
      </c>
      <c r="N26">
        <f>K26+L26+M26</f>
        <v/>
      </c>
      <c r="O26">
        <f>N26/(1+Hypothèses!$B$6)</f>
        <v/>
      </c>
      <c r="P26">
        <f>Hypothèses!$B$3*(1+Hypothèses!$B$4)^INT((A26-1)/3)</f>
        <v/>
      </c>
      <c r="Q26">
        <f>0</f>
        <v/>
      </c>
      <c r="R26">
        <f>Q26*Hypothèses!$B$16</f>
        <v/>
      </c>
      <c r="S26">
        <f>O26*Hypothèses!$B$5</f>
        <v/>
      </c>
      <c r="T26">
        <f>O26-P26-R26-S26</f>
        <v/>
      </c>
      <c r="U26">
        <f>U25+T26</f>
        <v/>
      </c>
    </row>
    <row r="27">
      <c r="A27" t="n">
        <v>24</v>
      </c>
      <c r="B27">
        <f>INT((A27-1)/12)+1</f>
        <v/>
      </c>
      <c r="C27">
        <f>ROUND(IF(MOD($A27,12)=0,F27,(IF(27=4,0,C26))*(1-$I27)+IF((IF(27=4,0,C26))*(1-$I27)&lt;F27,(F27-(IF(27=4,0,C26))*(1-$I27))*Hypothèses!$B$10,0)),1)</f>
        <v/>
      </c>
      <c r="D27">
        <f>ROUND(IF(MOD($A27,12)=0,G27,(IF(27=4,0,D26))*(1-$I27)+IF((IF(27=4,0,D26))*(1-$I27)&lt;G27,(G27-(IF(27=4,0,D26))*(1-$I27))*Hypothèses!$B$10,0)),1)</f>
        <v/>
      </c>
      <c r="E27">
        <f>ROUND(IF(MOD($A27,12)=0,H27,(IF(27=4,0,E26))*(1-$I27)+IF((IF(27=4,0,E26))*(1-$I27)&lt;H27,(H27-(IF(27=4,0,E26))*(1-$I27))*Hypothèses!$B$10,0)),1)</f>
        <v/>
      </c>
      <c r="F27">
        <f>(IF(B27=1,0,IF(B27=2,Hypothèses!$B$25,IF(B27=3,Hypothèses!$C$25,Hypothèses!$D$25)))+(IF(B27=1,Hypothèses!$B$25,IF(B27=2,Hypothèses!$C$25,IF(B27=3,Hypothèses!$D$25,Hypothèses!$D$25)))-(IF(B27=1,0,IF(B27=2,Hypothèses!$B$25,IF(B27=3,Hypothèses!$C$25,Hypothèses!$D$25)))))*((A27)-INT((A27-1)/12)*12)/12)*$B$1</f>
        <v/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/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/>
      </c>
      <c r="I27">
        <f>IF(A27&lt;Hypothèses!$B$7,0,Hypothèses!$B$8*(1-Hypothèses!$B$9)^(A27-Hypothèses!$B$7))</f>
        <v/>
      </c>
      <c r="J27">
        <f>C27+D27+E27</f>
        <v/>
      </c>
      <c r="K27">
        <f>(C27*Hypothèses!$B$11+D27*Hypothèses!$B$12+E27*Hypothèses!$B$13)*(IF(B27=1,Hypothèses!$B$19,IF(B27=2,Hypothèses!$B$20,Hypothèses!$B$21))+(1-(IF(B27=1,Hypothèses!$B$19,IF(B27=2,Hypothèses!$B$20,Hypothèses!$B$21))))*11/12)</f>
        <v/>
      </c>
      <c r="L27">
        <f>J27*IF(B27=1,Hypothèses!$C$19,IF(B27=2,Hypothèses!$C$20,Hypothèses!$C$21))*IF(B27=1,Hypothèses!$D$19,IF(B27=2,Hypothèses!$D$20,Hypothèses!$D$21))</f>
        <v/>
      </c>
      <c r="M27">
        <f>IF(A27=18,IF($B$2&gt;=1,Hypothèses!$B$31,0),IF(AND(OR(A27=30,A27=34),$D$2&gt;=1),Hypothèses!$B$32*MIN(1,$D$2/3),0))</f>
        <v/>
      </c>
      <c r="N27">
        <f>K27+L27+M27</f>
        <v/>
      </c>
      <c r="O27">
        <f>N27/(1+Hypothèses!$B$6)</f>
        <v/>
      </c>
      <c r="P27">
        <f>Hypothèses!$B$3*(1+Hypothèses!$B$4)^INT((A27-1)/3)</f>
        <v/>
      </c>
      <c r="Q27">
        <f>0</f>
        <v/>
      </c>
      <c r="R27">
        <f>Q27*Hypothèses!$B$16</f>
        <v/>
      </c>
      <c r="S27">
        <f>O27*Hypothèses!$B$5</f>
        <v/>
      </c>
      <c r="T27">
        <f>O27-P27-R27-S27</f>
        <v/>
      </c>
      <c r="U27">
        <f>U26+T27</f>
        <v/>
      </c>
    </row>
    <row r="28">
      <c r="A28" t="n">
        <v>25</v>
      </c>
      <c r="B28">
        <f>INT((A28-1)/12)+1</f>
        <v/>
      </c>
      <c r="C28">
        <f>ROUND(IF(MOD($A28,12)=0,F28,(IF(28=4,0,C27))*(1-$I28)+IF((IF(28=4,0,C27))*(1-$I28)&lt;F28,(F28-(IF(28=4,0,C27))*(1-$I28))*Hypothèses!$B$10,0)),1)</f>
        <v/>
      </c>
      <c r="D28">
        <f>ROUND(IF(MOD($A28,12)=0,G28,(IF(28=4,0,D27))*(1-$I28)+IF((IF(28=4,0,D27))*(1-$I28)&lt;G28,(G28-(IF(28=4,0,D27))*(1-$I28))*Hypothèses!$B$10,0)),1)</f>
        <v/>
      </c>
      <c r="E28">
        <f>ROUND(IF(MOD($A28,12)=0,H28,(IF(28=4,0,E27))*(1-$I28)+IF((IF(28=4,0,E27))*(1-$I28)&lt;H28,(H28-(IF(28=4,0,E27))*(1-$I28))*Hypothèses!$B$10,0)),1)</f>
        <v/>
      </c>
      <c r="F28">
        <f>(IF(B28=1,0,IF(B28=2,Hypothèses!$B$25,IF(B28=3,Hypothèses!$C$25,Hypothèses!$D$25)))+(IF(B28=1,Hypothèses!$B$25,IF(B28=2,Hypothèses!$C$25,IF(B28=3,Hypothèses!$D$25,Hypothèses!$D$25)))-(IF(B28=1,0,IF(B28=2,Hypothèses!$B$25,IF(B28=3,Hypothèses!$C$25,Hypothèses!$D$25)))))*((A28)-INT((A28-1)/12)*12)/12)*$B$1</f>
        <v/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/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/>
      </c>
      <c r="I28">
        <f>IF(A28&lt;Hypothèses!$B$7,0,Hypothèses!$B$8*(1-Hypothèses!$B$9)^(A28-Hypothèses!$B$7))</f>
        <v/>
      </c>
      <c r="J28">
        <f>C28+D28+E28</f>
        <v/>
      </c>
      <c r="K28">
        <f>(C28*Hypothèses!$B$11+D28*Hypothèses!$B$12+E28*Hypothèses!$B$13)*(IF(B28=1,Hypothèses!$B$19,IF(B28=2,Hypothèses!$B$20,Hypothèses!$B$21))+(1-(IF(B28=1,Hypothèses!$B$19,IF(B28=2,Hypothèses!$B$20,Hypothèses!$B$21))))*11/12)</f>
        <v/>
      </c>
      <c r="L28">
        <f>J28*IF(B28=1,Hypothèses!$C$19,IF(B28=2,Hypothèses!$C$20,Hypothèses!$C$21))*IF(B28=1,Hypothèses!$D$19,IF(B28=2,Hypothèses!$D$20,Hypothèses!$D$21))</f>
        <v/>
      </c>
      <c r="M28">
        <f>IF(A28=18,IF($B$2&gt;=1,Hypothèses!$B$31,0),IF(AND(OR(A28=30,A28=34),$D$2&gt;=1),Hypothèses!$B$32*MIN(1,$D$2/3),0))</f>
        <v/>
      </c>
      <c r="N28">
        <f>K28+L28+M28</f>
        <v/>
      </c>
      <c r="O28">
        <f>N28/(1+Hypothèses!$B$6)</f>
        <v/>
      </c>
      <c r="P28">
        <f>Hypothèses!$B$3*(1+Hypothèses!$B$4)^INT((A28-1)/3)</f>
        <v/>
      </c>
      <c r="Q28">
        <f>0</f>
        <v/>
      </c>
      <c r="R28">
        <f>Q28*Hypothèses!$B$16</f>
        <v/>
      </c>
      <c r="S28">
        <f>O28*Hypothèses!$B$5</f>
        <v/>
      </c>
      <c r="T28">
        <f>O28-P28-R28-S28</f>
        <v/>
      </c>
      <c r="U28">
        <f>U27+T28</f>
        <v/>
      </c>
    </row>
    <row r="29">
      <c r="A29" t="n">
        <v>26</v>
      </c>
      <c r="B29">
        <f>INT((A29-1)/12)+1</f>
        <v/>
      </c>
      <c r="C29">
        <f>ROUND(IF(MOD($A29,12)=0,F29,(IF(29=4,0,C28))*(1-$I29)+IF((IF(29=4,0,C28))*(1-$I29)&lt;F29,(F29-(IF(29=4,0,C28))*(1-$I29))*Hypothèses!$B$10,0)),1)</f>
        <v/>
      </c>
      <c r="D29">
        <f>ROUND(IF(MOD($A29,12)=0,G29,(IF(29=4,0,D28))*(1-$I29)+IF((IF(29=4,0,D28))*(1-$I29)&lt;G29,(G29-(IF(29=4,0,D28))*(1-$I29))*Hypothèses!$B$10,0)),1)</f>
        <v/>
      </c>
      <c r="E29">
        <f>ROUND(IF(MOD($A29,12)=0,H29,(IF(29=4,0,E28))*(1-$I29)+IF((IF(29=4,0,E28))*(1-$I29)&lt;H29,(H29-(IF(29=4,0,E28))*(1-$I29))*Hypothèses!$B$10,0)),1)</f>
        <v/>
      </c>
      <c r="F29">
        <f>(IF(B29=1,0,IF(B29=2,Hypothèses!$B$25,IF(B29=3,Hypothèses!$C$25,Hypothèses!$D$25)))+(IF(B29=1,Hypothèses!$B$25,IF(B29=2,Hypothèses!$C$25,IF(B29=3,Hypothèses!$D$25,Hypothèses!$D$25)))-(IF(B29=1,0,IF(B29=2,Hypothèses!$B$25,IF(B29=3,Hypothèses!$C$25,Hypothèses!$D$25)))))*((A29)-INT((A29-1)/12)*12)/12)*$B$1</f>
        <v/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/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/>
      </c>
      <c r="I29">
        <f>IF(A29&lt;Hypothèses!$B$7,0,Hypothèses!$B$8*(1-Hypothèses!$B$9)^(A29-Hypothèses!$B$7))</f>
        <v/>
      </c>
      <c r="J29">
        <f>C29+D29+E29</f>
        <v/>
      </c>
      <c r="K29">
        <f>(C29*Hypothèses!$B$11+D29*Hypothèses!$B$12+E29*Hypothèses!$B$13)*(IF(B29=1,Hypothèses!$B$19,IF(B29=2,Hypothèses!$B$20,Hypothèses!$B$21))+(1-(IF(B29=1,Hypothèses!$B$19,IF(B29=2,Hypothèses!$B$20,Hypothèses!$B$21))))*11/12)</f>
        <v/>
      </c>
      <c r="L29">
        <f>J29*IF(B29=1,Hypothèses!$C$19,IF(B29=2,Hypothèses!$C$20,Hypothèses!$C$21))*IF(B29=1,Hypothèses!$D$19,IF(B29=2,Hypothèses!$D$20,Hypothèses!$D$21))</f>
        <v/>
      </c>
      <c r="M29">
        <f>IF(A29=18,IF($B$2&gt;=1,Hypothèses!$B$31,0),IF(AND(OR(A29=30,A29=34),$D$2&gt;=1),Hypothèses!$B$32*MIN(1,$D$2/3),0))</f>
        <v/>
      </c>
      <c r="N29">
        <f>K29+L29+M29</f>
        <v/>
      </c>
      <c r="O29">
        <f>N29/(1+Hypothèses!$B$6)</f>
        <v/>
      </c>
      <c r="P29">
        <f>Hypothèses!$B$3*(1+Hypothèses!$B$4)^INT((A29-1)/3)</f>
        <v/>
      </c>
      <c r="Q29">
        <f>0</f>
        <v/>
      </c>
      <c r="R29">
        <f>Q29*Hypothèses!$B$16</f>
        <v/>
      </c>
      <c r="S29">
        <f>O29*Hypothèses!$B$5</f>
        <v/>
      </c>
      <c r="T29">
        <f>O29-P29-R29-S29</f>
        <v/>
      </c>
      <c r="U29">
        <f>U28+T29</f>
        <v/>
      </c>
    </row>
    <row r="30">
      <c r="A30" t="n">
        <v>27</v>
      </c>
      <c r="B30">
        <f>INT((A30-1)/12)+1</f>
        <v/>
      </c>
      <c r="C30">
        <f>ROUND(IF(MOD($A30,12)=0,F30,(IF(30=4,0,C29))*(1-$I30)+IF((IF(30=4,0,C29))*(1-$I30)&lt;F30,(F30-(IF(30=4,0,C29))*(1-$I30))*Hypothèses!$B$10,0)),1)</f>
        <v/>
      </c>
      <c r="D30">
        <f>ROUND(IF(MOD($A30,12)=0,G30,(IF(30=4,0,D29))*(1-$I30)+IF((IF(30=4,0,D29))*(1-$I30)&lt;G30,(G30-(IF(30=4,0,D29))*(1-$I30))*Hypothèses!$B$10,0)),1)</f>
        <v/>
      </c>
      <c r="E30">
        <f>ROUND(IF(MOD($A30,12)=0,H30,(IF(30=4,0,E29))*(1-$I30)+IF((IF(30=4,0,E29))*(1-$I30)&lt;H30,(H30-(IF(30=4,0,E29))*(1-$I30))*Hypothèses!$B$10,0)),1)</f>
        <v/>
      </c>
      <c r="F30">
        <f>(IF(B30=1,0,IF(B30=2,Hypothèses!$B$25,IF(B30=3,Hypothèses!$C$25,Hypothèses!$D$25)))+(IF(B30=1,Hypothèses!$B$25,IF(B30=2,Hypothèses!$C$25,IF(B30=3,Hypothèses!$D$25,Hypothèses!$D$25)))-(IF(B30=1,0,IF(B30=2,Hypothèses!$B$25,IF(B30=3,Hypothèses!$C$25,Hypothèses!$D$25)))))*((A30)-INT((A30-1)/12)*12)/12)*$B$1</f>
        <v/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/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/>
      </c>
      <c r="I30">
        <f>IF(A30&lt;Hypothèses!$B$7,0,Hypothèses!$B$8*(1-Hypothèses!$B$9)^(A30-Hypothèses!$B$7))</f>
        <v/>
      </c>
      <c r="J30">
        <f>C30+D30+E30</f>
        <v/>
      </c>
      <c r="K30">
        <f>(C30*Hypothèses!$B$11+D30*Hypothèses!$B$12+E30*Hypothèses!$B$13)*(IF(B30=1,Hypothèses!$B$19,IF(B30=2,Hypothèses!$B$20,Hypothèses!$B$21))+(1-(IF(B30=1,Hypothèses!$B$19,IF(B30=2,Hypothèses!$B$20,Hypothèses!$B$21))))*11/12)</f>
        <v/>
      </c>
      <c r="L30">
        <f>J30*IF(B30=1,Hypothèses!$C$19,IF(B30=2,Hypothèses!$C$20,Hypothèses!$C$21))*IF(B30=1,Hypothèses!$D$19,IF(B30=2,Hypothèses!$D$20,Hypothèses!$D$21))</f>
        <v/>
      </c>
      <c r="M30">
        <f>IF(A30=18,IF($B$2&gt;=1,Hypothèses!$B$31,0),IF(AND(OR(A30=30,A30=34),$D$2&gt;=1),Hypothèses!$B$32*MIN(1,$D$2/3),0))</f>
        <v/>
      </c>
      <c r="N30">
        <f>K30+L30+M30</f>
        <v/>
      </c>
      <c r="O30">
        <f>N30/(1+Hypothèses!$B$6)</f>
        <v/>
      </c>
      <c r="P30">
        <f>Hypothèses!$B$3*(1+Hypothèses!$B$4)^INT((A30-1)/3)</f>
        <v/>
      </c>
      <c r="Q30">
        <f>0</f>
        <v/>
      </c>
      <c r="R30">
        <f>Q30*Hypothèses!$B$16</f>
        <v/>
      </c>
      <c r="S30">
        <f>O30*Hypothèses!$B$5</f>
        <v/>
      </c>
      <c r="T30">
        <f>O30-P30-R30-S30</f>
        <v/>
      </c>
      <c r="U30">
        <f>U29+T30</f>
        <v/>
      </c>
    </row>
    <row r="31">
      <c r="A31" t="n">
        <v>28</v>
      </c>
      <c r="B31">
        <f>INT((A31-1)/12)+1</f>
        <v/>
      </c>
      <c r="C31">
        <f>ROUND(IF(MOD($A31,12)=0,F31,(IF(31=4,0,C30))*(1-$I31)+IF((IF(31=4,0,C30))*(1-$I31)&lt;F31,(F31-(IF(31=4,0,C30))*(1-$I31))*Hypothèses!$B$10,0)),1)</f>
        <v/>
      </c>
      <c r="D31">
        <f>ROUND(IF(MOD($A31,12)=0,G31,(IF(31=4,0,D30))*(1-$I31)+IF((IF(31=4,0,D30))*(1-$I31)&lt;G31,(G31-(IF(31=4,0,D30))*(1-$I31))*Hypothèses!$B$10,0)),1)</f>
        <v/>
      </c>
      <c r="E31">
        <f>ROUND(IF(MOD($A31,12)=0,H31,(IF(31=4,0,E30))*(1-$I31)+IF((IF(31=4,0,E30))*(1-$I31)&lt;H31,(H31-(IF(31=4,0,E30))*(1-$I31))*Hypothèses!$B$10,0)),1)</f>
        <v/>
      </c>
      <c r="F31">
        <f>(IF(B31=1,0,IF(B31=2,Hypothèses!$B$25,IF(B31=3,Hypothèses!$C$25,Hypothèses!$D$25)))+(IF(B31=1,Hypothèses!$B$25,IF(B31=2,Hypothèses!$C$25,IF(B31=3,Hypothèses!$D$25,Hypothèses!$D$25)))-(IF(B31=1,0,IF(B31=2,Hypothèses!$B$25,IF(B31=3,Hypothèses!$C$25,Hypothèses!$D$25)))))*((A31)-INT((A31-1)/12)*12)/12)*$B$1</f>
        <v/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/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/>
      </c>
      <c r="I31">
        <f>IF(A31&lt;Hypothèses!$B$7,0,Hypothèses!$B$8*(1-Hypothèses!$B$9)^(A31-Hypothèses!$B$7))</f>
        <v/>
      </c>
      <c r="J31">
        <f>C31+D31+E31</f>
        <v/>
      </c>
      <c r="K31">
        <f>(C31*Hypothèses!$B$11+D31*Hypothèses!$B$12+E31*Hypothèses!$B$13)*(IF(B31=1,Hypothèses!$B$19,IF(B31=2,Hypothèses!$B$20,Hypothèses!$B$21))+(1-(IF(B31=1,Hypothèses!$B$19,IF(B31=2,Hypothèses!$B$20,Hypothèses!$B$21))))*11/12)</f>
        <v/>
      </c>
      <c r="L31">
        <f>J31*IF(B31=1,Hypothèses!$C$19,IF(B31=2,Hypothèses!$C$20,Hypothèses!$C$21))*IF(B31=1,Hypothèses!$D$19,IF(B31=2,Hypothèses!$D$20,Hypothèses!$D$21))</f>
        <v/>
      </c>
      <c r="M31">
        <f>IF(A31=18,IF($B$2&gt;=1,Hypothèses!$B$31,0),IF(AND(OR(A31=30,A31=34),$D$2&gt;=1),Hypothèses!$B$32*MIN(1,$D$2/3),0))</f>
        <v/>
      </c>
      <c r="N31">
        <f>K31+L31+M31</f>
        <v/>
      </c>
      <c r="O31">
        <f>N31/(1+Hypothèses!$B$6)</f>
        <v/>
      </c>
      <c r="P31">
        <f>Hypothèses!$B$3*(1+Hypothèses!$B$4)^INT((A31-1)/3)</f>
        <v/>
      </c>
      <c r="Q31">
        <f>0</f>
        <v/>
      </c>
      <c r="R31">
        <f>Q31*Hypothèses!$B$16</f>
        <v/>
      </c>
      <c r="S31">
        <f>O31*Hypothèses!$B$5</f>
        <v/>
      </c>
      <c r="T31">
        <f>O31-P31-R31-S31</f>
        <v/>
      </c>
      <c r="U31">
        <f>U30+T31</f>
        <v/>
      </c>
    </row>
    <row r="32">
      <c r="A32" t="n">
        <v>29</v>
      </c>
      <c r="B32">
        <f>INT((A32-1)/12)+1</f>
        <v/>
      </c>
      <c r="C32">
        <f>ROUND(IF(MOD($A32,12)=0,F32,(IF(32=4,0,C31))*(1-$I32)+IF((IF(32=4,0,C31))*(1-$I32)&lt;F32,(F32-(IF(32=4,0,C31))*(1-$I32))*Hypothèses!$B$10,0)),1)</f>
        <v/>
      </c>
      <c r="D32">
        <f>ROUND(IF(MOD($A32,12)=0,G32,(IF(32=4,0,D31))*(1-$I32)+IF((IF(32=4,0,D31))*(1-$I32)&lt;G32,(G32-(IF(32=4,0,D31))*(1-$I32))*Hypothèses!$B$10,0)),1)</f>
        <v/>
      </c>
      <c r="E32">
        <f>ROUND(IF(MOD($A32,12)=0,H32,(IF(32=4,0,E31))*(1-$I32)+IF((IF(32=4,0,E31))*(1-$I32)&lt;H32,(H32-(IF(32=4,0,E31))*(1-$I32))*Hypothèses!$B$10,0)),1)</f>
        <v/>
      </c>
      <c r="F32">
        <f>(IF(B32=1,0,IF(B32=2,Hypothèses!$B$25,IF(B32=3,Hypothèses!$C$25,Hypothèses!$D$25)))+(IF(B32=1,Hypothèses!$B$25,IF(B32=2,Hypothèses!$C$25,IF(B32=3,Hypothèses!$D$25,Hypothèses!$D$25)))-(IF(B32=1,0,IF(B32=2,Hypothèses!$B$25,IF(B32=3,Hypothèses!$C$25,Hypothèses!$D$25)))))*((A32)-INT((A32-1)/12)*12)/12)*$B$1</f>
        <v/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/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/>
      </c>
      <c r="I32">
        <f>IF(A32&lt;Hypothèses!$B$7,0,Hypothèses!$B$8*(1-Hypothèses!$B$9)^(A32-Hypothèses!$B$7))</f>
        <v/>
      </c>
      <c r="J32">
        <f>C32+D32+E32</f>
        <v/>
      </c>
      <c r="K32">
        <f>(C32*Hypothèses!$B$11+D32*Hypothèses!$B$12+E32*Hypothèses!$B$13)*(IF(B32=1,Hypothèses!$B$19,IF(B32=2,Hypothèses!$B$20,Hypothèses!$B$21))+(1-(IF(B32=1,Hypothèses!$B$19,IF(B32=2,Hypothèses!$B$20,Hypothèses!$B$21))))*11/12)</f>
        <v/>
      </c>
      <c r="L32">
        <f>J32*IF(B32=1,Hypothèses!$C$19,IF(B32=2,Hypothèses!$C$20,Hypothèses!$C$21))*IF(B32=1,Hypothèses!$D$19,IF(B32=2,Hypothèses!$D$20,Hypothèses!$D$21))</f>
        <v/>
      </c>
      <c r="M32">
        <f>IF(A32=18,IF($B$2&gt;=1,Hypothèses!$B$31,0),IF(AND(OR(A32=30,A32=34),$D$2&gt;=1),Hypothèses!$B$32*MIN(1,$D$2/3),0))</f>
        <v/>
      </c>
      <c r="N32">
        <f>K32+L32+M32</f>
        <v/>
      </c>
      <c r="O32">
        <f>N32/(1+Hypothèses!$B$6)</f>
        <v/>
      </c>
      <c r="P32">
        <f>Hypothèses!$B$3*(1+Hypothèses!$B$4)^INT((A32-1)/3)</f>
        <v/>
      </c>
      <c r="Q32">
        <f>0</f>
        <v/>
      </c>
      <c r="R32">
        <f>Q32*Hypothèses!$B$16</f>
        <v/>
      </c>
      <c r="S32">
        <f>O32*Hypothèses!$B$5</f>
        <v/>
      </c>
      <c r="T32">
        <f>O32-P32-R32-S32</f>
        <v/>
      </c>
      <c r="U32">
        <f>U31+T32</f>
        <v/>
      </c>
    </row>
    <row r="33">
      <c r="A33" t="n">
        <v>30</v>
      </c>
      <c r="B33">
        <f>INT((A33-1)/12)+1</f>
        <v/>
      </c>
      <c r="C33">
        <f>ROUND(IF(MOD($A33,12)=0,F33,(IF(33=4,0,C32))*(1-$I33)+IF((IF(33=4,0,C32))*(1-$I33)&lt;F33,(F33-(IF(33=4,0,C32))*(1-$I33))*Hypothèses!$B$10,0)),1)</f>
        <v/>
      </c>
      <c r="D33">
        <f>ROUND(IF(MOD($A33,12)=0,G33,(IF(33=4,0,D32))*(1-$I33)+IF((IF(33=4,0,D32))*(1-$I33)&lt;G33,(G33-(IF(33=4,0,D32))*(1-$I33))*Hypothèses!$B$10,0)),1)</f>
        <v/>
      </c>
      <c r="E33">
        <f>ROUND(IF(MOD($A33,12)=0,H33,(IF(33=4,0,E32))*(1-$I33)+IF((IF(33=4,0,E32))*(1-$I33)&lt;H33,(H33-(IF(33=4,0,E32))*(1-$I33))*Hypothèses!$B$10,0)),1)</f>
        <v/>
      </c>
      <c r="F33">
        <f>(IF(B33=1,0,IF(B33=2,Hypothèses!$B$25,IF(B33=3,Hypothèses!$C$25,Hypothèses!$D$25)))+(IF(B33=1,Hypothèses!$B$25,IF(B33=2,Hypothèses!$C$25,IF(B33=3,Hypothèses!$D$25,Hypothèses!$D$25)))-(IF(B33=1,0,IF(B33=2,Hypothèses!$B$25,IF(B33=3,Hypothèses!$C$25,Hypothèses!$D$25)))))*((A33)-INT((A33-1)/12)*12)/12)*$B$1</f>
        <v/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/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/>
      </c>
      <c r="I33">
        <f>IF(A33&lt;Hypothèses!$B$7,0,Hypothèses!$B$8*(1-Hypothèses!$B$9)^(A33-Hypothèses!$B$7))</f>
        <v/>
      </c>
      <c r="J33">
        <f>C33+D33+E33</f>
        <v/>
      </c>
      <c r="K33">
        <f>(C33*Hypothèses!$B$11+D33*Hypothèses!$B$12+E33*Hypothèses!$B$13)*(IF(B33=1,Hypothèses!$B$19,IF(B33=2,Hypothèses!$B$20,Hypothèses!$B$21))+(1-(IF(B33=1,Hypothèses!$B$19,IF(B33=2,Hypothèses!$B$20,Hypothèses!$B$21))))*11/12)</f>
        <v/>
      </c>
      <c r="L33">
        <f>J33*IF(B33=1,Hypothèses!$C$19,IF(B33=2,Hypothèses!$C$20,Hypothèses!$C$21))*IF(B33=1,Hypothèses!$D$19,IF(B33=2,Hypothèses!$D$20,Hypothèses!$D$21))</f>
        <v/>
      </c>
      <c r="M33">
        <f>IF(A33=18,IF($B$2&gt;=1,Hypothèses!$B$31,0),IF(AND(OR(A33=30,A33=34),$D$2&gt;=1),Hypothèses!$B$32*MIN(1,$D$2/3),0))</f>
        <v/>
      </c>
      <c r="N33">
        <f>K33+L33+M33</f>
        <v/>
      </c>
      <c r="O33">
        <f>N33/(1+Hypothèses!$B$6)</f>
        <v/>
      </c>
      <c r="P33">
        <f>Hypothèses!$B$3*(1+Hypothèses!$B$4)^INT((A33-1)/3)</f>
        <v/>
      </c>
      <c r="Q33">
        <f>0</f>
        <v/>
      </c>
      <c r="R33">
        <f>Q33*Hypothèses!$B$16</f>
        <v/>
      </c>
      <c r="S33">
        <f>O33*Hypothèses!$B$5</f>
        <v/>
      </c>
      <c r="T33">
        <f>O33-P33-R33-S33</f>
        <v/>
      </c>
      <c r="U33">
        <f>U32+T33</f>
        <v/>
      </c>
    </row>
    <row r="34">
      <c r="A34" t="n">
        <v>31</v>
      </c>
      <c r="B34">
        <f>INT((A34-1)/12)+1</f>
        <v/>
      </c>
      <c r="C34">
        <f>ROUND(IF(MOD($A34,12)=0,F34,(IF(34=4,0,C33))*(1-$I34)+IF((IF(34=4,0,C33))*(1-$I34)&lt;F34,(F34-(IF(34=4,0,C33))*(1-$I34))*Hypothèses!$B$10,0)),1)</f>
        <v/>
      </c>
      <c r="D34">
        <f>ROUND(IF(MOD($A34,12)=0,G34,(IF(34=4,0,D33))*(1-$I34)+IF((IF(34=4,0,D33))*(1-$I34)&lt;G34,(G34-(IF(34=4,0,D33))*(1-$I34))*Hypothèses!$B$10,0)),1)</f>
        <v/>
      </c>
      <c r="E34">
        <f>ROUND(IF(MOD($A34,12)=0,H34,(IF(34=4,0,E33))*(1-$I34)+IF((IF(34=4,0,E33))*(1-$I34)&lt;H34,(H34-(IF(34=4,0,E33))*(1-$I34))*Hypothèses!$B$10,0)),1)</f>
        <v/>
      </c>
      <c r="F34">
        <f>(IF(B34=1,0,IF(B34=2,Hypothèses!$B$25,IF(B34=3,Hypothèses!$C$25,Hypothèses!$D$25)))+(IF(B34=1,Hypothèses!$B$25,IF(B34=2,Hypothèses!$C$25,IF(B34=3,Hypothèses!$D$25,Hypothèses!$D$25)))-(IF(B34=1,0,IF(B34=2,Hypothèses!$B$25,IF(B34=3,Hypothèses!$C$25,Hypothèses!$D$25)))))*((A34)-INT((A34-1)/12)*12)/12)*$B$1</f>
        <v/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/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/>
      </c>
      <c r="I34">
        <f>IF(A34&lt;Hypothèses!$B$7,0,Hypothèses!$B$8*(1-Hypothèses!$B$9)^(A34-Hypothèses!$B$7))</f>
        <v/>
      </c>
      <c r="J34">
        <f>C34+D34+E34</f>
        <v/>
      </c>
      <c r="K34">
        <f>(C34*Hypothèses!$B$11+D34*Hypothèses!$B$12+E34*Hypothèses!$B$13)*(IF(B34=1,Hypothèses!$B$19,IF(B34=2,Hypothèses!$B$20,Hypothèses!$B$21))+(1-(IF(B34=1,Hypothèses!$B$19,IF(B34=2,Hypothèses!$B$20,Hypothèses!$B$21))))*11/12)</f>
        <v/>
      </c>
      <c r="L34">
        <f>J34*IF(B34=1,Hypothèses!$C$19,IF(B34=2,Hypothèses!$C$20,Hypothèses!$C$21))*IF(B34=1,Hypothèses!$D$19,IF(B34=2,Hypothèses!$D$20,Hypothèses!$D$21))</f>
        <v/>
      </c>
      <c r="M34">
        <f>IF(A34=18,IF($B$2&gt;=1,Hypothèses!$B$31,0),IF(AND(OR(A34=30,A34=34),$D$2&gt;=1),Hypothèses!$B$32*MIN(1,$D$2/3),0))</f>
        <v/>
      </c>
      <c r="N34">
        <f>K34+L34+M34</f>
        <v/>
      </c>
      <c r="O34">
        <f>N34/(1+Hypothèses!$B$6)</f>
        <v/>
      </c>
      <c r="P34">
        <f>Hypothèses!$B$3*(1+Hypothèses!$B$4)^INT((A34-1)/3)</f>
        <v/>
      </c>
      <c r="Q34">
        <f>0</f>
        <v/>
      </c>
      <c r="R34">
        <f>Q34*Hypothèses!$B$16</f>
        <v/>
      </c>
      <c r="S34">
        <f>O34*Hypothèses!$B$5</f>
        <v/>
      </c>
      <c r="T34">
        <f>O34-P34-R34-S34</f>
        <v/>
      </c>
      <c r="U34">
        <f>U33+T34</f>
        <v/>
      </c>
    </row>
    <row r="35">
      <c r="A35" t="n">
        <v>32</v>
      </c>
      <c r="B35">
        <f>INT((A35-1)/12)+1</f>
        <v/>
      </c>
      <c r="C35">
        <f>ROUND(IF(MOD($A35,12)=0,F35,(IF(35=4,0,C34))*(1-$I35)+IF((IF(35=4,0,C34))*(1-$I35)&lt;F35,(F35-(IF(35=4,0,C34))*(1-$I35))*Hypothèses!$B$10,0)),1)</f>
        <v/>
      </c>
      <c r="D35">
        <f>ROUND(IF(MOD($A35,12)=0,G35,(IF(35=4,0,D34))*(1-$I35)+IF((IF(35=4,0,D34))*(1-$I35)&lt;G35,(G35-(IF(35=4,0,D34))*(1-$I35))*Hypothèses!$B$10,0)),1)</f>
        <v/>
      </c>
      <c r="E35">
        <f>ROUND(IF(MOD($A35,12)=0,H35,(IF(35=4,0,E34))*(1-$I35)+IF((IF(35=4,0,E34))*(1-$I35)&lt;H35,(H35-(IF(35=4,0,E34))*(1-$I35))*Hypothèses!$B$10,0)),1)</f>
        <v/>
      </c>
      <c r="F35">
        <f>(IF(B35=1,0,IF(B35=2,Hypothèses!$B$25,IF(B35=3,Hypothèses!$C$25,Hypothèses!$D$25)))+(IF(B35=1,Hypothèses!$B$25,IF(B35=2,Hypothèses!$C$25,IF(B35=3,Hypothèses!$D$25,Hypothèses!$D$25)))-(IF(B35=1,0,IF(B35=2,Hypothèses!$B$25,IF(B35=3,Hypothèses!$C$25,Hypothèses!$D$25)))))*((A35)-INT((A35-1)/12)*12)/12)*$B$1</f>
        <v/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/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/>
      </c>
      <c r="I35">
        <f>IF(A35&lt;Hypothèses!$B$7,0,Hypothèses!$B$8*(1-Hypothèses!$B$9)^(A35-Hypothèses!$B$7))</f>
        <v/>
      </c>
      <c r="J35">
        <f>C35+D35+E35</f>
        <v/>
      </c>
      <c r="K35">
        <f>(C35*Hypothèses!$B$11+D35*Hypothèses!$B$12+E35*Hypothèses!$B$13)*(IF(B35=1,Hypothèses!$B$19,IF(B35=2,Hypothèses!$B$20,Hypothèses!$B$21))+(1-(IF(B35=1,Hypothèses!$B$19,IF(B35=2,Hypothèses!$B$20,Hypothèses!$B$21))))*11/12)</f>
        <v/>
      </c>
      <c r="L35">
        <f>J35*IF(B35=1,Hypothèses!$C$19,IF(B35=2,Hypothèses!$C$20,Hypothèses!$C$21))*IF(B35=1,Hypothèses!$D$19,IF(B35=2,Hypothèses!$D$20,Hypothèses!$D$21))</f>
        <v/>
      </c>
      <c r="M35">
        <f>IF(A35=18,IF($B$2&gt;=1,Hypothèses!$B$31,0),IF(AND(OR(A35=30,A35=34),$D$2&gt;=1),Hypothèses!$B$32*MIN(1,$D$2/3),0))</f>
        <v/>
      </c>
      <c r="N35">
        <f>K35+L35+M35</f>
        <v/>
      </c>
      <c r="O35">
        <f>N35/(1+Hypothèses!$B$6)</f>
        <v/>
      </c>
      <c r="P35">
        <f>Hypothèses!$B$3*(1+Hypothèses!$B$4)^INT((A35-1)/3)</f>
        <v/>
      </c>
      <c r="Q35">
        <f>0</f>
        <v/>
      </c>
      <c r="R35">
        <f>Q35*Hypothèses!$B$16</f>
        <v/>
      </c>
      <c r="S35">
        <f>O35*Hypothèses!$B$5</f>
        <v/>
      </c>
      <c r="T35">
        <f>O35-P35-R35-S35</f>
        <v/>
      </c>
      <c r="U35">
        <f>U34+T35</f>
        <v/>
      </c>
    </row>
    <row r="36">
      <c r="A36" t="n">
        <v>33</v>
      </c>
      <c r="B36">
        <f>INT((A36-1)/12)+1</f>
        <v/>
      </c>
      <c r="C36">
        <f>ROUND(IF(MOD($A36,12)=0,F36,(IF(36=4,0,C35))*(1-$I36)+IF((IF(36=4,0,C35))*(1-$I36)&lt;F36,(F36-(IF(36=4,0,C35))*(1-$I36))*Hypothèses!$B$10,0)),1)</f>
        <v/>
      </c>
      <c r="D36">
        <f>ROUND(IF(MOD($A36,12)=0,G36,(IF(36=4,0,D35))*(1-$I36)+IF((IF(36=4,0,D35))*(1-$I36)&lt;G36,(G36-(IF(36=4,0,D35))*(1-$I36))*Hypothèses!$B$10,0)),1)</f>
        <v/>
      </c>
      <c r="E36">
        <f>ROUND(IF(MOD($A36,12)=0,H36,(IF(36=4,0,E35))*(1-$I36)+IF((IF(36=4,0,E35))*(1-$I36)&lt;H36,(H36-(IF(36=4,0,E35))*(1-$I36))*Hypothèses!$B$10,0)),1)</f>
        <v/>
      </c>
      <c r="F36">
        <f>(IF(B36=1,0,IF(B36=2,Hypothèses!$B$25,IF(B36=3,Hypothèses!$C$25,Hypothèses!$D$25)))+(IF(B36=1,Hypothèses!$B$25,IF(B36=2,Hypothèses!$C$25,IF(B36=3,Hypothèses!$D$25,Hypothèses!$D$25)))-(IF(B36=1,0,IF(B36=2,Hypothèses!$B$25,IF(B36=3,Hypothèses!$C$25,Hypothèses!$D$25)))))*((A36)-INT((A36-1)/12)*12)/12)*$B$1</f>
        <v/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/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/>
      </c>
      <c r="I36">
        <f>IF(A36&lt;Hypothèses!$B$7,0,Hypothèses!$B$8*(1-Hypothèses!$B$9)^(A36-Hypothèses!$B$7))</f>
        <v/>
      </c>
      <c r="J36">
        <f>C36+D36+E36</f>
        <v/>
      </c>
      <c r="K36">
        <f>(C36*Hypothèses!$B$11+D36*Hypothèses!$B$12+E36*Hypothèses!$B$13)*(IF(B36=1,Hypothèses!$B$19,IF(B36=2,Hypothèses!$B$20,Hypothèses!$B$21))+(1-(IF(B36=1,Hypothèses!$B$19,IF(B36=2,Hypothèses!$B$20,Hypothèses!$B$21))))*11/12)</f>
        <v/>
      </c>
      <c r="L36">
        <f>J36*IF(B36=1,Hypothèses!$C$19,IF(B36=2,Hypothèses!$C$20,Hypothèses!$C$21))*IF(B36=1,Hypothèses!$D$19,IF(B36=2,Hypothèses!$D$20,Hypothèses!$D$21))</f>
        <v/>
      </c>
      <c r="M36">
        <f>IF(A36=18,IF($B$2&gt;=1,Hypothèses!$B$31,0),IF(AND(OR(A36=30,A36=34),$D$2&gt;=1),Hypothèses!$B$32*MIN(1,$D$2/3),0))</f>
        <v/>
      </c>
      <c r="N36">
        <f>K36+L36+M36</f>
        <v/>
      </c>
      <c r="O36">
        <f>N36/(1+Hypothèses!$B$6)</f>
        <v/>
      </c>
      <c r="P36">
        <f>Hypothèses!$B$3*(1+Hypothèses!$B$4)^INT((A36-1)/3)</f>
        <v/>
      </c>
      <c r="Q36">
        <f>0</f>
        <v/>
      </c>
      <c r="R36">
        <f>Q36*Hypothèses!$B$16</f>
        <v/>
      </c>
      <c r="S36">
        <f>O36*Hypothèses!$B$5</f>
        <v/>
      </c>
      <c r="T36">
        <f>O36-P36-R36-S36</f>
        <v/>
      </c>
      <c r="U36">
        <f>U35+T36</f>
        <v/>
      </c>
    </row>
    <row r="37">
      <c r="A37" t="n">
        <v>34</v>
      </c>
      <c r="B37">
        <f>INT((A37-1)/12)+1</f>
        <v/>
      </c>
      <c r="C37">
        <f>ROUND(IF(MOD($A37,12)=0,F37,(IF(37=4,0,C36))*(1-$I37)+IF((IF(37=4,0,C36))*(1-$I37)&lt;F37,(F37-(IF(37=4,0,C36))*(1-$I37))*Hypothèses!$B$10,0)),1)</f>
        <v/>
      </c>
      <c r="D37">
        <f>ROUND(IF(MOD($A37,12)=0,G37,(IF(37=4,0,D36))*(1-$I37)+IF((IF(37=4,0,D36))*(1-$I37)&lt;G37,(G37-(IF(37=4,0,D36))*(1-$I37))*Hypothèses!$B$10,0)),1)</f>
        <v/>
      </c>
      <c r="E37">
        <f>ROUND(IF(MOD($A37,12)=0,H37,(IF(37=4,0,E36))*(1-$I37)+IF((IF(37=4,0,E36))*(1-$I37)&lt;H37,(H37-(IF(37=4,0,E36))*(1-$I37))*Hypothèses!$B$10,0)),1)</f>
        <v/>
      </c>
      <c r="F37">
        <f>(IF(B37=1,0,IF(B37=2,Hypothèses!$B$25,IF(B37=3,Hypothèses!$C$25,Hypothèses!$D$25)))+(IF(B37=1,Hypothèses!$B$25,IF(B37=2,Hypothèses!$C$25,IF(B37=3,Hypothèses!$D$25,Hypothèses!$D$25)))-(IF(B37=1,0,IF(B37=2,Hypothèses!$B$25,IF(B37=3,Hypothèses!$C$25,Hypothèses!$D$25)))))*((A37)-INT((A37-1)/12)*12)/12)*$B$1</f>
        <v/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/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/>
      </c>
      <c r="I37">
        <f>IF(A37&lt;Hypothèses!$B$7,0,Hypothèses!$B$8*(1-Hypothèses!$B$9)^(A37-Hypothèses!$B$7))</f>
        <v/>
      </c>
      <c r="J37">
        <f>C37+D37+E37</f>
        <v/>
      </c>
      <c r="K37">
        <f>(C37*Hypothèses!$B$11+D37*Hypothèses!$B$12+E37*Hypothèses!$B$13)*(IF(B37=1,Hypothèses!$B$19,IF(B37=2,Hypothèses!$B$20,Hypothèses!$B$21))+(1-(IF(B37=1,Hypothèses!$B$19,IF(B37=2,Hypothèses!$B$20,Hypothèses!$B$21))))*11/12)</f>
        <v/>
      </c>
      <c r="L37">
        <f>J37*IF(B37=1,Hypothèses!$C$19,IF(B37=2,Hypothèses!$C$20,Hypothèses!$C$21))*IF(B37=1,Hypothèses!$D$19,IF(B37=2,Hypothèses!$D$20,Hypothèses!$D$21))</f>
        <v/>
      </c>
      <c r="M37">
        <f>IF(A37=18,IF($B$2&gt;=1,Hypothèses!$B$31,0),IF(AND(OR(A37=30,A37=34),$D$2&gt;=1),Hypothèses!$B$32*MIN(1,$D$2/3),0))</f>
        <v/>
      </c>
      <c r="N37">
        <f>K37+L37+M37</f>
        <v/>
      </c>
      <c r="O37">
        <f>N37/(1+Hypothèses!$B$6)</f>
        <v/>
      </c>
      <c r="P37">
        <f>Hypothèses!$B$3*(1+Hypothèses!$B$4)^INT((A37-1)/3)</f>
        <v/>
      </c>
      <c r="Q37">
        <f>0</f>
        <v/>
      </c>
      <c r="R37">
        <f>Q37*Hypothèses!$B$16</f>
        <v/>
      </c>
      <c r="S37">
        <f>O37*Hypothèses!$B$5</f>
        <v/>
      </c>
      <c r="T37">
        <f>O37-P37-R37-S37</f>
        <v/>
      </c>
      <c r="U37">
        <f>U36+T37</f>
        <v/>
      </c>
    </row>
    <row r="38">
      <c r="A38" t="n">
        <v>35</v>
      </c>
      <c r="B38">
        <f>INT((A38-1)/12)+1</f>
        <v/>
      </c>
      <c r="C38">
        <f>ROUND(IF(MOD($A38,12)=0,F38,(IF(38=4,0,C37))*(1-$I38)+IF((IF(38=4,0,C37))*(1-$I38)&lt;F38,(F38-(IF(38=4,0,C37))*(1-$I38))*Hypothèses!$B$10,0)),1)</f>
        <v/>
      </c>
      <c r="D38">
        <f>ROUND(IF(MOD($A38,12)=0,G38,(IF(38=4,0,D37))*(1-$I38)+IF((IF(38=4,0,D37))*(1-$I38)&lt;G38,(G38-(IF(38=4,0,D37))*(1-$I38))*Hypothèses!$B$10,0)),1)</f>
        <v/>
      </c>
      <c r="E38">
        <f>ROUND(IF(MOD($A38,12)=0,H38,(IF(38=4,0,E37))*(1-$I38)+IF((IF(38=4,0,E37))*(1-$I38)&lt;H38,(H38-(IF(38=4,0,E37))*(1-$I38))*Hypothèses!$B$10,0)),1)</f>
        <v/>
      </c>
      <c r="F38">
        <f>(IF(B38=1,0,IF(B38=2,Hypothèses!$B$25,IF(B38=3,Hypothèses!$C$25,Hypothèses!$D$25)))+(IF(B38=1,Hypothèses!$B$25,IF(B38=2,Hypothèses!$C$25,IF(B38=3,Hypothèses!$D$25,Hypothèses!$D$25)))-(IF(B38=1,0,IF(B38=2,Hypothèses!$B$25,IF(B38=3,Hypothèses!$C$25,Hypothèses!$D$25)))))*((A38)-INT((A38-1)/12)*12)/12)*$B$1</f>
        <v/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/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/>
      </c>
      <c r="I38">
        <f>IF(A38&lt;Hypothèses!$B$7,0,Hypothèses!$B$8*(1-Hypothèses!$B$9)^(A38-Hypothèses!$B$7))</f>
        <v/>
      </c>
      <c r="J38">
        <f>C38+D38+E38</f>
        <v/>
      </c>
      <c r="K38">
        <f>(C38*Hypothèses!$B$11+D38*Hypothèses!$B$12+E38*Hypothèses!$B$13)*(IF(B38=1,Hypothèses!$B$19,IF(B38=2,Hypothèses!$B$20,Hypothèses!$B$21))+(1-(IF(B38=1,Hypothèses!$B$19,IF(B38=2,Hypothèses!$B$20,Hypothèses!$B$21))))*11/12)</f>
        <v/>
      </c>
      <c r="L38">
        <f>J38*IF(B38=1,Hypothèses!$C$19,IF(B38=2,Hypothèses!$C$20,Hypothèses!$C$21))*IF(B38=1,Hypothèses!$D$19,IF(B38=2,Hypothèses!$D$20,Hypothèses!$D$21))</f>
        <v/>
      </c>
      <c r="M38">
        <f>IF(A38=18,IF($B$2&gt;=1,Hypothèses!$B$31,0),IF(AND(OR(A38=30,A38=34),$D$2&gt;=1),Hypothèses!$B$32*MIN(1,$D$2/3),0))</f>
        <v/>
      </c>
      <c r="N38">
        <f>K38+L38+M38</f>
        <v/>
      </c>
      <c r="O38">
        <f>N38/(1+Hypothèses!$B$6)</f>
        <v/>
      </c>
      <c r="P38">
        <f>Hypothèses!$B$3*(1+Hypothèses!$B$4)^INT((A38-1)/3)</f>
        <v/>
      </c>
      <c r="Q38">
        <f>0</f>
        <v/>
      </c>
      <c r="R38">
        <f>Q38*Hypothèses!$B$16</f>
        <v/>
      </c>
      <c r="S38">
        <f>O38*Hypothèses!$B$5</f>
        <v/>
      </c>
      <c r="T38">
        <f>O38-P38-R38-S38</f>
        <v/>
      </c>
      <c r="U38">
        <f>U37+T38</f>
        <v/>
      </c>
    </row>
    <row r="39">
      <c r="A39" t="n">
        <v>36</v>
      </c>
      <c r="B39">
        <f>INT((A39-1)/12)+1</f>
        <v/>
      </c>
      <c r="C39">
        <f>ROUND(IF(MOD($A39,12)=0,F39,(IF(39=4,0,C38))*(1-$I39)+IF((IF(39=4,0,C38))*(1-$I39)&lt;F39,(F39-(IF(39=4,0,C38))*(1-$I39))*Hypothèses!$B$10,0)),1)</f>
        <v/>
      </c>
      <c r="D39">
        <f>ROUND(IF(MOD($A39,12)=0,G39,(IF(39=4,0,D38))*(1-$I39)+IF((IF(39=4,0,D38))*(1-$I39)&lt;G39,(G39-(IF(39=4,0,D38))*(1-$I39))*Hypothèses!$B$10,0)),1)</f>
        <v/>
      </c>
      <c r="E39">
        <f>ROUND(IF(MOD($A39,12)=0,H39,(IF(39=4,0,E38))*(1-$I39)+IF((IF(39=4,0,E38))*(1-$I39)&lt;H39,(H39-(IF(39=4,0,E38))*(1-$I39))*Hypothèses!$B$10,0)),1)</f>
        <v/>
      </c>
      <c r="F39">
        <f>(IF(B39=1,0,IF(B39=2,Hypothèses!$B$25,IF(B39=3,Hypothèses!$C$25,Hypothèses!$D$25)))+(IF(B39=1,Hypothèses!$B$25,IF(B39=2,Hypothèses!$C$25,IF(B39=3,Hypothèses!$D$25,Hypothèses!$D$25)))-(IF(B39=1,0,IF(B39=2,Hypothèses!$B$25,IF(B39=3,Hypothèses!$C$25,Hypothèses!$D$25)))))*((A39)-INT((A39-1)/12)*12)/12)*$B$1</f>
        <v/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/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/>
      </c>
      <c r="I39">
        <f>IF(A39&lt;Hypothèses!$B$7,0,Hypothèses!$B$8*(1-Hypothèses!$B$9)^(A39-Hypothèses!$B$7))</f>
        <v/>
      </c>
      <c r="J39">
        <f>C39+D39+E39</f>
        <v/>
      </c>
      <c r="K39">
        <f>(C39*Hypothèses!$B$11+D39*Hypothèses!$B$12+E39*Hypothèses!$B$13)*(IF(B39=1,Hypothèses!$B$19,IF(B39=2,Hypothèses!$B$20,Hypothèses!$B$21))+(1-(IF(B39=1,Hypothèses!$B$19,IF(B39=2,Hypothèses!$B$20,Hypothèses!$B$21))))*11/12)</f>
        <v/>
      </c>
      <c r="L39">
        <f>J39*IF(B39=1,Hypothèses!$C$19,IF(B39=2,Hypothèses!$C$20,Hypothèses!$C$21))*IF(B39=1,Hypothèses!$D$19,IF(B39=2,Hypothèses!$D$20,Hypothèses!$D$21))</f>
        <v/>
      </c>
      <c r="M39">
        <f>IF(A39=18,IF($B$2&gt;=1,Hypothèses!$B$31,0),IF(AND(OR(A39=30,A39=34),$D$2&gt;=1),Hypothèses!$B$32*MIN(1,$D$2/3),0))</f>
        <v/>
      </c>
      <c r="N39">
        <f>K39+L39+M39</f>
        <v/>
      </c>
      <c r="O39">
        <f>N39/(1+Hypothèses!$B$6)</f>
        <v/>
      </c>
      <c r="P39">
        <f>Hypothèses!$B$3*(1+Hypothèses!$B$4)^INT((A39-1)/3)</f>
        <v/>
      </c>
      <c r="Q39">
        <f>0</f>
        <v/>
      </c>
      <c r="R39">
        <f>Q39*Hypothèses!$B$16</f>
        <v/>
      </c>
      <c r="S39">
        <f>O39*Hypothèses!$B$5</f>
        <v/>
      </c>
      <c r="T39">
        <f>O39-P39-R39-S39</f>
        <v/>
      </c>
      <c r="U39">
        <f>U38+T39</f>
        <v/>
      </c>
    </row>
    <row r="41">
      <c r="A41" s="2" t="inlineStr">
        <is>
          <t>Synthèse annuelle</t>
        </is>
      </c>
    </row>
    <row r="42">
      <c r="A42" t="inlineStr">
        <is>
          <t>Année</t>
        </is>
      </c>
      <c r="B42" t="inlineStr">
        <is>
          <t>CA HT</t>
        </is>
      </c>
      <c r="C42" t="inlineStr">
        <is>
          <t>EBITDA</t>
        </is>
      </c>
      <c r="D42" t="inlineStr">
        <is>
          <t>Sous-traitance dev</t>
        </is>
      </c>
      <c r="E42" t="inlineStr">
        <is>
          <t>Trésorerie fin</t>
        </is>
      </c>
    </row>
    <row r="43">
      <c r="A43" t="inlineStr">
        <is>
          <t>A1</t>
        </is>
      </c>
      <c r="B43">
        <f>SUMIF($B$4:$B$39,1,$O$4:$O$39)</f>
        <v/>
      </c>
      <c r="C43">
        <f>SUMIF($B$4:$B$39,1,$T$4:$T$39)</f>
        <v/>
      </c>
      <c r="D43">
        <f>SUMIF($B$4:$B$39,1,$R$4:$R$39)</f>
        <v/>
      </c>
      <c r="E43">
        <f>U15</f>
        <v/>
      </c>
    </row>
    <row r="44">
      <c r="A44" t="inlineStr">
        <is>
          <t>A2</t>
        </is>
      </c>
      <c r="B44">
        <f>SUMIF($B$4:$B$39,2,$O$4:$O$39)</f>
        <v/>
      </c>
      <c r="C44">
        <f>SUMIF($B$4:$B$39,2,$T$4:$T$39)</f>
        <v/>
      </c>
      <c r="D44">
        <f>SUMIF($B$4:$B$39,2,$R$4:$R$39)</f>
        <v/>
      </c>
      <c r="E44">
        <f>U27</f>
        <v/>
      </c>
    </row>
    <row r="45">
      <c r="A45" t="inlineStr">
        <is>
          <t>A3</t>
        </is>
      </c>
      <c r="B45">
        <f>SUMIF($B$4:$B$39,3,$O$4:$O$39)</f>
        <v/>
      </c>
      <c r="C45">
        <f>SUMIF($B$4:$B$39,3,$T$4:$T$39)</f>
        <v/>
      </c>
      <c r="D45">
        <f>SUMIF($B$4:$B$39,3,$R$4:$R$39)</f>
        <v/>
      </c>
      <c r="E45">
        <f>U39</f>
        <v/>
      </c>
    </row>
    <row r="47">
      <c r="A47" s="3" t="inlineStr">
        <is>
          <t>Effectifs fin A3 (cible × facteur)</t>
        </is>
      </c>
    </row>
    <row r="48">
      <c r="A48">
        <f>ROUND(Hypothèses!$D$25*$B$1,0)&amp;" Atelier · "&amp;ROUND(Hypothèses!$D$26*$B$1,0)&amp;" Horizon · "&amp;ROUND(Hypothèses!$D$27*$B$1,0)&amp;" Rayonn."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t="inlineStr">
        <is>
          <t>Facteur clients (scénario)</t>
        </is>
      </c>
      <c r="B1" t="n">
        <v>1</v>
      </c>
    </row>
    <row r="2">
      <c r="A2" t="inlineStr">
        <is>
          <t>Zénith fin A2 (cible)</t>
        </is>
      </c>
      <c r="B2">
        <f>ROUND(Hypothèses!$C$28*$B$1,0)</f>
        <v/>
      </c>
      <c r="C2" t="inlineStr">
        <is>
          <t>Zénith fin A3 (cible)</t>
        </is>
      </c>
      <c r="D2">
        <f>ROUND(Hypothèses!$D$28*$B$1,0)</f>
        <v/>
      </c>
    </row>
    <row r="3">
      <c r="A3" s="1" t="inlineStr">
        <is>
          <t>Mois</t>
        </is>
      </c>
      <c r="B3" s="1" t="inlineStr">
        <is>
          <t>Année</t>
        </is>
      </c>
      <c r="C3" s="1" t="inlineStr">
        <is>
          <t>Atelier</t>
        </is>
      </c>
      <c r="D3" s="1" t="inlineStr">
        <is>
          <t>Horizon</t>
        </is>
      </c>
      <c r="E3" s="1" t="inlineStr">
        <is>
          <t>Rayonnement</t>
        </is>
      </c>
      <c r="F3" s="1" t="inlineStr">
        <is>
          <t>Cible Atelier</t>
        </is>
      </c>
      <c r="G3" s="1" t="inlineStr">
        <is>
          <t>Cible Horizon</t>
        </is>
      </c>
      <c r="H3" s="1" t="inlineStr">
        <is>
          <t>Cible Rayonn.</t>
        </is>
      </c>
      <c r="I3" s="1" t="inlineStr">
        <is>
          <t>Taux churn</t>
        </is>
      </c>
      <c r="J3" s="1" t="inlineStr">
        <is>
          <t>Clients payants</t>
        </is>
      </c>
      <c r="K3" s="1" t="inlineStr">
        <is>
          <t>MRR abo TTC</t>
        </is>
      </c>
      <c r="L3" s="1" t="inlineStr">
        <is>
          <t>Options TTC</t>
        </is>
      </c>
      <c r="M3" s="1" t="inlineStr">
        <is>
          <t>Zénith TTC</t>
        </is>
      </c>
      <c r="N3" s="1" t="inlineStr">
        <is>
          <t>CA TTC</t>
        </is>
      </c>
      <c r="O3" s="1" t="inlineStr">
        <is>
          <t>CA HT</t>
        </is>
      </c>
      <c r="P3" s="1" t="inlineStr">
        <is>
          <t>Frais fixes infra</t>
        </is>
      </c>
      <c r="Q3" s="1" t="inlineStr">
        <is>
          <t>Nb développeurs</t>
        </is>
      </c>
      <c r="R3" s="1" t="inlineStr">
        <is>
          <t>Sous-traitance dev (HT)</t>
        </is>
      </c>
      <c r="S3" s="1" t="inlineStr">
        <is>
          <t>Frais variables 1%</t>
        </is>
      </c>
      <c r="T3" s="1" t="inlineStr">
        <is>
          <t>EBITDA</t>
        </is>
      </c>
      <c r="U3" s="1" t="inlineStr">
        <is>
          <t>Trésorerie</t>
        </is>
      </c>
    </row>
    <row r="4">
      <c r="A4" t="n">
        <v>1</v>
      </c>
      <c r="B4">
        <f>INT((A4-1)/12)+1</f>
        <v/>
      </c>
      <c r="C4">
        <f>ROUND(IF(MOD($A4,12)=0,F4,(IF(4=4,0,C3))*(1-$I4)+IF((IF(4=4,0,C3))*(1-$I4)&lt;F4,(F4-(IF(4=4,0,C3))*(1-$I4))*Hypothèses!$B$10,0)),1)</f>
        <v/>
      </c>
      <c r="D4">
        <f>ROUND(IF(MOD($A4,12)=0,G4,(IF(4=4,0,D3))*(1-$I4)+IF((IF(4=4,0,D3))*(1-$I4)&lt;G4,(G4-(IF(4=4,0,D3))*(1-$I4))*Hypothèses!$B$10,0)),1)</f>
        <v/>
      </c>
      <c r="E4">
        <f>ROUND(IF(MOD($A4,12)=0,H4,(IF(4=4,0,E3))*(1-$I4)+IF((IF(4=4,0,E3))*(1-$I4)&lt;H4,(H4-(IF(4=4,0,E3))*(1-$I4))*Hypothèses!$B$10,0)),1)</f>
        <v/>
      </c>
      <c r="F4">
        <f>(IF(B4=1,0,IF(B4=2,Hypothèses!$B$25,IF(B4=3,Hypothèses!$C$25,Hypothèses!$D$25)))+(IF(B4=1,Hypothèses!$B$25,IF(B4=2,Hypothèses!$C$25,IF(B4=3,Hypothèses!$D$25,Hypothèses!$D$25)))-(IF(B4=1,0,IF(B4=2,Hypothèses!$B$25,IF(B4=3,Hypothèses!$C$25,Hypothèses!$D$25)))))*((A4)-INT((A4-1)/12)*12)/12)*$B$1</f>
        <v/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/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/>
      </c>
      <c r="I4">
        <f>IF(A4&lt;Hypothèses!$B$7,0,Hypothèses!$B$8*(1-Hypothèses!$B$9)^(A4-Hypothèses!$B$7))</f>
        <v/>
      </c>
      <c r="J4">
        <f>C4+D4+E4</f>
        <v/>
      </c>
      <c r="K4">
        <f>(C4*Hypothèses!$B$11+D4*Hypothèses!$B$12+E4*Hypothèses!$B$13)*(IF(B4=1,Hypothèses!$B$19,IF(B4=2,Hypothèses!$B$20,Hypothèses!$B$21))+(1-(IF(B4=1,Hypothèses!$B$19,IF(B4=2,Hypothèses!$B$20,Hypothèses!$B$21))))*11/12)</f>
        <v/>
      </c>
      <c r="L4">
        <f>J4*IF(B4=1,Hypothèses!$C$19,IF(B4=2,Hypothèses!$C$20,Hypothèses!$C$21))*IF(B4=1,Hypothèses!$D$19,IF(B4=2,Hypothèses!$D$20,Hypothèses!$D$21))</f>
        <v/>
      </c>
      <c r="M4">
        <f>IF(A4=18,IF($B$2&gt;=1,Hypothèses!$B$31,0),IF(AND(OR(A4=30,A4=34),$D$2&gt;=1),Hypothèses!$B$32*MIN(1,$D$2/3),0))</f>
        <v/>
      </c>
      <c r="N4">
        <f>K4+L4+M4</f>
        <v/>
      </c>
      <c r="O4">
        <f>N4/(1+Hypothèses!$B$6)</f>
        <v/>
      </c>
      <c r="P4">
        <f>Hypothèses!$B$3*(1+Hypothèses!$B$4)^INT((A4-1)/3)</f>
        <v/>
      </c>
      <c r="Q4">
        <f>IF($A4&gt;=13,1,0)</f>
        <v/>
      </c>
      <c r="R4">
        <f>Q4*Hypothèses!$B$16</f>
        <v/>
      </c>
      <c r="S4">
        <f>O4*Hypothèses!$B$5</f>
        <v/>
      </c>
      <c r="T4">
        <f>O4-P4-R4-S4</f>
        <v/>
      </c>
      <c r="U4">
        <f>Hypothèses!$B$2+T4</f>
        <v/>
      </c>
    </row>
    <row r="5">
      <c r="A5" t="n">
        <v>2</v>
      </c>
      <c r="B5">
        <f>INT((A5-1)/12)+1</f>
        <v/>
      </c>
      <c r="C5">
        <f>ROUND(IF(MOD($A5,12)=0,F5,(IF(5=4,0,C4))*(1-$I5)+IF((IF(5=4,0,C4))*(1-$I5)&lt;F5,(F5-(IF(5=4,0,C4))*(1-$I5))*Hypothèses!$B$10,0)),1)</f>
        <v/>
      </c>
      <c r="D5">
        <f>ROUND(IF(MOD($A5,12)=0,G5,(IF(5=4,0,D4))*(1-$I5)+IF((IF(5=4,0,D4))*(1-$I5)&lt;G5,(G5-(IF(5=4,0,D4))*(1-$I5))*Hypothèses!$B$10,0)),1)</f>
        <v/>
      </c>
      <c r="E5">
        <f>ROUND(IF(MOD($A5,12)=0,H5,(IF(5=4,0,E4))*(1-$I5)+IF((IF(5=4,0,E4))*(1-$I5)&lt;H5,(H5-(IF(5=4,0,E4))*(1-$I5))*Hypothèses!$B$10,0)),1)</f>
        <v/>
      </c>
      <c r="F5">
        <f>(IF(B5=1,0,IF(B5=2,Hypothèses!$B$25,IF(B5=3,Hypothèses!$C$25,Hypothèses!$D$25)))+(IF(B5=1,Hypothèses!$B$25,IF(B5=2,Hypothèses!$C$25,IF(B5=3,Hypothèses!$D$25,Hypothèses!$D$25)))-(IF(B5=1,0,IF(B5=2,Hypothèses!$B$25,IF(B5=3,Hypothèses!$C$25,Hypothèses!$D$25)))))*((A5)-INT((A5-1)/12)*12)/12)*$B$1</f>
        <v/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/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/>
      </c>
      <c r="I5">
        <f>IF(A5&lt;Hypothèses!$B$7,0,Hypothèses!$B$8*(1-Hypothèses!$B$9)^(A5-Hypothèses!$B$7))</f>
        <v/>
      </c>
      <c r="J5">
        <f>C5+D5+E5</f>
        <v/>
      </c>
      <c r="K5">
        <f>(C5*Hypothèses!$B$11+D5*Hypothèses!$B$12+E5*Hypothèses!$B$13)*(IF(B5=1,Hypothèses!$B$19,IF(B5=2,Hypothèses!$B$20,Hypothèses!$B$21))+(1-(IF(B5=1,Hypothèses!$B$19,IF(B5=2,Hypothèses!$B$20,Hypothèses!$B$21))))*11/12)</f>
        <v/>
      </c>
      <c r="L5">
        <f>J5*IF(B5=1,Hypothèses!$C$19,IF(B5=2,Hypothèses!$C$20,Hypothèses!$C$21))*IF(B5=1,Hypothèses!$D$19,IF(B5=2,Hypothèses!$D$20,Hypothèses!$D$21))</f>
        <v/>
      </c>
      <c r="M5">
        <f>IF(A5=18,IF($B$2&gt;=1,Hypothèses!$B$31,0),IF(AND(OR(A5=30,A5=34),$D$2&gt;=1),Hypothèses!$B$32*MIN(1,$D$2/3),0))</f>
        <v/>
      </c>
      <c r="N5">
        <f>K5+L5+M5</f>
        <v/>
      </c>
      <c r="O5">
        <f>N5/(1+Hypothèses!$B$6)</f>
        <v/>
      </c>
      <c r="P5">
        <f>Hypothèses!$B$3*(1+Hypothèses!$B$4)^INT((A5-1)/3)</f>
        <v/>
      </c>
      <c r="Q5">
        <f>IF($A5&gt;=13,1,0)</f>
        <v/>
      </c>
      <c r="R5">
        <f>Q5*Hypothèses!$B$16</f>
        <v/>
      </c>
      <c r="S5">
        <f>O5*Hypothèses!$B$5</f>
        <v/>
      </c>
      <c r="T5">
        <f>O5-P5-R5-S5</f>
        <v/>
      </c>
      <c r="U5">
        <f>U4+T5</f>
        <v/>
      </c>
    </row>
    <row r="6">
      <c r="A6" t="n">
        <v>3</v>
      </c>
      <c r="B6">
        <f>INT((A6-1)/12)+1</f>
        <v/>
      </c>
      <c r="C6">
        <f>ROUND(IF(MOD($A6,12)=0,F6,(IF(6=4,0,C5))*(1-$I6)+IF((IF(6=4,0,C5))*(1-$I6)&lt;F6,(F6-(IF(6=4,0,C5))*(1-$I6))*Hypothèses!$B$10,0)),1)</f>
        <v/>
      </c>
      <c r="D6">
        <f>ROUND(IF(MOD($A6,12)=0,G6,(IF(6=4,0,D5))*(1-$I6)+IF((IF(6=4,0,D5))*(1-$I6)&lt;G6,(G6-(IF(6=4,0,D5))*(1-$I6))*Hypothèses!$B$10,0)),1)</f>
        <v/>
      </c>
      <c r="E6">
        <f>ROUND(IF(MOD($A6,12)=0,H6,(IF(6=4,0,E5))*(1-$I6)+IF((IF(6=4,0,E5))*(1-$I6)&lt;H6,(H6-(IF(6=4,0,E5))*(1-$I6))*Hypothèses!$B$10,0)),1)</f>
        <v/>
      </c>
      <c r="F6">
        <f>(IF(B6=1,0,IF(B6=2,Hypothèses!$B$25,IF(B6=3,Hypothèses!$C$25,Hypothèses!$D$25)))+(IF(B6=1,Hypothèses!$B$25,IF(B6=2,Hypothèses!$C$25,IF(B6=3,Hypothèses!$D$25,Hypothèses!$D$25)))-(IF(B6=1,0,IF(B6=2,Hypothèses!$B$25,IF(B6=3,Hypothèses!$C$25,Hypothèses!$D$25)))))*((A6)-INT((A6-1)/12)*12)/12)*$B$1</f>
        <v/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/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/>
      </c>
      <c r="I6">
        <f>IF(A6&lt;Hypothèses!$B$7,0,Hypothèses!$B$8*(1-Hypothèses!$B$9)^(A6-Hypothèses!$B$7))</f>
        <v/>
      </c>
      <c r="J6">
        <f>C6+D6+E6</f>
        <v/>
      </c>
      <c r="K6">
        <f>(C6*Hypothèses!$B$11+D6*Hypothèses!$B$12+E6*Hypothèses!$B$13)*(IF(B6=1,Hypothèses!$B$19,IF(B6=2,Hypothèses!$B$20,Hypothèses!$B$21))+(1-(IF(B6=1,Hypothèses!$B$19,IF(B6=2,Hypothèses!$B$20,Hypothèses!$B$21))))*11/12)</f>
        <v/>
      </c>
      <c r="L6">
        <f>J6*IF(B6=1,Hypothèses!$C$19,IF(B6=2,Hypothèses!$C$20,Hypothèses!$C$21))*IF(B6=1,Hypothèses!$D$19,IF(B6=2,Hypothèses!$D$20,Hypothèses!$D$21))</f>
        <v/>
      </c>
      <c r="M6">
        <f>IF(A6=18,IF($B$2&gt;=1,Hypothèses!$B$31,0),IF(AND(OR(A6=30,A6=34),$D$2&gt;=1),Hypothèses!$B$32*MIN(1,$D$2/3),0))</f>
        <v/>
      </c>
      <c r="N6">
        <f>K6+L6+M6</f>
        <v/>
      </c>
      <c r="O6">
        <f>N6/(1+Hypothèses!$B$6)</f>
        <v/>
      </c>
      <c r="P6">
        <f>Hypothèses!$B$3*(1+Hypothèses!$B$4)^INT((A6-1)/3)</f>
        <v/>
      </c>
      <c r="Q6">
        <f>IF($A6&gt;=13,1,0)</f>
        <v/>
      </c>
      <c r="R6">
        <f>Q6*Hypothèses!$B$16</f>
        <v/>
      </c>
      <c r="S6">
        <f>O6*Hypothèses!$B$5</f>
        <v/>
      </c>
      <c r="T6">
        <f>O6-P6-R6-S6</f>
        <v/>
      </c>
      <c r="U6">
        <f>U5+T6</f>
        <v/>
      </c>
    </row>
    <row r="7">
      <c r="A7" t="n">
        <v>4</v>
      </c>
      <c r="B7">
        <f>INT((A7-1)/12)+1</f>
        <v/>
      </c>
      <c r="C7">
        <f>ROUND(IF(MOD($A7,12)=0,F7,(IF(7=4,0,C6))*(1-$I7)+IF((IF(7=4,0,C6))*(1-$I7)&lt;F7,(F7-(IF(7=4,0,C6))*(1-$I7))*Hypothèses!$B$10,0)),1)</f>
        <v/>
      </c>
      <c r="D7">
        <f>ROUND(IF(MOD($A7,12)=0,G7,(IF(7=4,0,D6))*(1-$I7)+IF((IF(7=4,0,D6))*(1-$I7)&lt;G7,(G7-(IF(7=4,0,D6))*(1-$I7))*Hypothèses!$B$10,0)),1)</f>
        <v/>
      </c>
      <c r="E7">
        <f>ROUND(IF(MOD($A7,12)=0,H7,(IF(7=4,0,E6))*(1-$I7)+IF((IF(7=4,0,E6))*(1-$I7)&lt;H7,(H7-(IF(7=4,0,E6))*(1-$I7))*Hypothèses!$B$10,0)),1)</f>
        <v/>
      </c>
      <c r="F7">
        <f>(IF(B7=1,0,IF(B7=2,Hypothèses!$B$25,IF(B7=3,Hypothèses!$C$25,Hypothèses!$D$25)))+(IF(B7=1,Hypothèses!$B$25,IF(B7=2,Hypothèses!$C$25,IF(B7=3,Hypothèses!$D$25,Hypothèses!$D$25)))-(IF(B7=1,0,IF(B7=2,Hypothèses!$B$25,IF(B7=3,Hypothèses!$C$25,Hypothèses!$D$25)))))*((A7)-INT((A7-1)/12)*12)/12)*$B$1</f>
        <v/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/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/>
      </c>
      <c r="I7">
        <f>IF(A7&lt;Hypothèses!$B$7,0,Hypothèses!$B$8*(1-Hypothèses!$B$9)^(A7-Hypothèses!$B$7))</f>
        <v/>
      </c>
      <c r="J7">
        <f>C7+D7+E7</f>
        <v/>
      </c>
      <c r="K7">
        <f>(C7*Hypothèses!$B$11+D7*Hypothèses!$B$12+E7*Hypothèses!$B$13)*(IF(B7=1,Hypothèses!$B$19,IF(B7=2,Hypothèses!$B$20,Hypothèses!$B$21))+(1-(IF(B7=1,Hypothèses!$B$19,IF(B7=2,Hypothèses!$B$20,Hypothèses!$B$21))))*11/12)</f>
        <v/>
      </c>
      <c r="L7">
        <f>J7*IF(B7=1,Hypothèses!$C$19,IF(B7=2,Hypothèses!$C$20,Hypothèses!$C$21))*IF(B7=1,Hypothèses!$D$19,IF(B7=2,Hypothèses!$D$20,Hypothèses!$D$21))</f>
        <v/>
      </c>
      <c r="M7">
        <f>IF(A7=18,IF($B$2&gt;=1,Hypothèses!$B$31,0),IF(AND(OR(A7=30,A7=34),$D$2&gt;=1),Hypothèses!$B$32*MIN(1,$D$2/3),0))</f>
        <v/>
      </c>
      <c r="N7">
        <f>K7+L7+M7</f>
        <v/>
      </c>
      <c r="O7">
        <f>N7/(1+Hypothèses!$B$6)</f>
        <v/>
      </c>
      <c r="P7">
        <f>Hypothèses!$B$3*(1+Hypothèses!$B$4)^INT((A7-1)/3)</f>
        <v/>
      </c>
      <c r="Q7">
        <f>IF($A7&gt;=13,1,0)</f>
        <v/>
      </c>
      <c r="R7">
        <f>Q7*Hypothèses!$B$16</f>
        <v/>
      </c>
      <c r="S7">
        <f>O7*Hypothèses!$B$5</f>
        <v/>
      </c>
      <c r="T7">
        <f>O7-P7-R7-S7</f>
        <v/>
      </c>
      <c r="U7">
        <f>U6+T7</f>
        <v/>
      </c>
    </row>
    <row r="8">
      <c r="A8" t="n">
        <v>5</v>
      </c>
      <c r="B8">
        <f>INT((A8-1)/12)+1</f>
        <v/>
      </c>
      <c r="C8">
        <f>ROUND(IF(MOD($A8,12)=0,F8,(IF(8=4,0,C7))*(1-$I8)+IF((IF(8=4,0,C7))*(1-$I8)&lt;F8,(F8-(IF(8=4,0,C7))*(1-$I8))*Hypothèses!$B$10,0)),1)</f>
        <v/>
      </c>
      <c r="D8">
        <f>ROUND(IF(MOD($A8,12)=0,G8,(IF(8=4,0,D7))*(1-$I8)+IF((IF(8=4,0,D7))*(1-$I8)&lt;G8,(G8-(IF(8=4,0,D7))*(1-$I8))*Hypothèses!$B$10,0)),1)</f>
        <v/>
      </c>
      <c r="E8">
        <f>ROUND(IF(MOD($A8,12)=0,H8,(IF(8=4,0,E7))*(1-$I8)+IF((IF(8=4,0,E7))*(1-$I8)&lt;H8,(H8-(IF(8=4,0,E7))*(1-$I8))*Hypothèses!$B$10,0)),1)</f>
        <v/>
      </c>
      <c r="F8">
        <f>(IF(B8=1,0,IF(B8=2,Hypothèses!$B$25,IF(B8=3,Hypothèses!$C$25,Hypothèses!$D$25)))+(IF(B8=1,Hypothèses!$B$25,IF(B8=2,Hypothèses!$C$25,IF(B8=3,Hypothèses!$D$25,Hypothèses!$D$25)))-(IF(B8=1,0,IF(B8=2,Hypothèses!$B$25,IF(B8=3,Hypothèses!$C$25,Hypothèses!$D$25)))))*((A8)-INT((A8-1)/12)*12)/12)*$B$1</f>
        <v/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/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/>
      </c>
      <c r="I8">
        <f>IF(A8&lt;Hypothèses!$B$7,0,Hypothèses!$B$8*(1-Hypothèses!$B$9)^(A8-Hypothèses!$B$7))</f>
        <v/>
      </c>
      <c r="J8">
        <f>C8+D8+E8</f>
        <v/>
      </c>
      <c r="K8">
        <f>(C8*Hypothèses!$B$11+D8*Hypothèses!$B$12+E8*Hypothèses!$B$13)*(IF(B8=1,Hypothèses!$B$19,IF(B8=2,Hypothèses!$B$20,Hypothèses!$B$21))+(1-(IF(B8=1,Hypothèses!$B$19,IF(B8=2,Hypothèses!$B$20,Hypothèses!$B$21))))*11/12)</f>
        <v/>
      </c>
      <c r="L8">
        <f>J8*IF(B8=1,Hypothèses!$C$19,IF(B8=2,Hypothèses!$C$20,Hypothèses!$C$21))*IF(B8=1,Hypothèses!$D$19,IF(B8=2,Hypothèses!$D$20,Hypothèses!$D$21))</f>
        <v/>
      </c>
      <c r="M8">
        <f>IF(A8=18,IF($B$2&gt;=1,Hypothèses!$B$31,0),IF(AND(OR(A8=30,A8=34),$D$2&gt;=1),Hypothèses!$B$32*MIN(1,$D$2/3),0))</f>
        <v/>
      </c>
      <c r="N8">
        <f>K8+L8+M8</f>
        <v/>
      </c>
      <c r="O8">
        <f>N8/(1+Hypothèses!$B$6)</f>
        <v/>
      </c>
      <c r="P8">
        <f>Hypothèses!$B$3*(1+Hypothèses!$B$4)^INT((A8-1)/3)</f>
        <v/>
      </c>
      <c r="Q8">
        <f>IF($A8&gt;=13,1,0)</f>
        <v/>
      </c>
      <c r="R8">
        <f>Q8*Hypothèses!$B$16</f>
        <v/>
      </c>
      <c r="S8">
        <f>O8*Hypothèses!$B$5</f>
        <v/>
      </c>
      <c r="T8">
        <f>O8-P8-R8-S8</f>
        <v/>
      </c>
      <c r="U8">
        <f>U7+T8</f>
        <v/>
      </c>
    </row>
    <row r="9">
      <c r="A9" t="n">
        <v>6</v>
      </c>
      <c r="B9">
        <f>INT((A9-1)/12)+1</f>
        <v/>
      </c>
      <c r="C9">
        <f>ROUND(IF(MOD($A9,12)=0,F9,(IF(9=4,0,C8))*(1-$I9)+IF((IF(9=4,0,C8))*(1-$I9)&lt;F9,(F9-(IF(9=4,0,C8))*(1-$I9))*Hypothèses!$B$10,0)),1)</f>
        <v/>
      </c>
      <c r="D9">
        <f>ROUND(IF(MOD($A9,12)=0,G9,(IF(9=4,0,D8))*(1-$I9)+IF((IF(9=4,0,D8))*(1-$I9)&lt;G9,(G9-(IF(9=4,0,D8))*(1-$I9))*Hypothèses!$B$10,0)),1)</f>
        <v/>
      </c>
      <c r="E9">
        <f>ROUND(IF(MOD($A9,12)=0,H9,(IF(9=4,0,E8))*(1-$I9)+IF((IF(9=4,0,E8))*(1-$I9)&lt;H9,(H9-(IF(9=4,0,E8))*(1-$I9))*Hypothèses!$B$10,0)),1)</f>
        <v/>
      </c>
      <c r="F9">
        <f>(IF(B9=1,0,IF(B9=2,Hypothèses!$B$25,IF(B9=3,Hypothèses!$C$25,Hypothèses!$D$25)))+(IF(B9=1,Hypothèses!$B$25,IF(B9=2,Hypothèses!$C$25,IF(B9=3,Hypothèses!$D$25,Hypothèses!$D$25)))-(IF(B9=1,0,IF(B9=2,Hypothèses!$B$25,IF(B9=3,Hypothèses!$C$25,Hypothèses!$D$25)))))*((A9)-INT((A9-1)/12)*12)/12)*$B$1</f>
        <v/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/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/>
      </c>
      <c r="I9">
        <f>IF(A9&lt;Hypothèses!$B$7,0,Hypothèses!$B$8*(1-Hypothèses!$B$9)^(A9-Hypothèses!$B$7))</f>
        <v/>
      </c>
      <c r="J9">
        <f>C9+D9+E9</f>
        <v/>
      </c>
      <c r="K9">
        <f>(C9*Hypothèses!$B$11+D9*Hypothèses!$B$12+E9*Hypothèses!$B$13)*(IF(B9=1,Hypothèses!$B$19,IF(B9=2,Hypothèses!$B$20,Hypothèses!$B$21))+(1-(IF(B9=1,Hypothèses!$B$19,IF(B9=2,Hypothèses!$B$20,Hypothèses!$B$21))))*11/12)</f>
        <v/>
      </c>
      <c r="L9">
        <f>J9*IF(B9=1,Hypothèses!$C$19,IF(B9=2,Hypothèses!$C$20,Hypothèses!$C$21))*IF(B9=1,Hypothèses!$D$19,IF(B9=2,Hypothèses!$D$20,Hypothèses!$D$21))</f>
        <v/>
      </c>
      <c r="M9">
        <f>IF(A9=18,IF($B$2&gt;=1,Hypothèses!$B$31,0),IF(AND(OR(A9=30,A9=34),$D$2&gt;=1),Hypothèses!$B$32*MIN(1,$D$2/3),0))</f>
        <v/>
      </c>
      <c r="N9">
        <f>K9+L9+M9</f>
        <v/>
      </c>
      <c r="O9">
        <f>N9/(1+Hypothèses!$B$6)</f>
        <v/>
      </c>
      <c r="P9">
        <f>Hypothèses!$B$3*(1+Hypothèses!$B$4)^INT((A9-1)/3)</f>
        <v/>
      </c>
      <c r="Q9">
        <f>IF($A9&gt;=13,1,0)</f>
        <v/>
      </c>
      <c r="R9">
        <f>Q9*Hypothèses!$B$16</f>
        <v/>
      </c>
      <c r="S9">
        <f>O9*Hypothèses!$B$5</f>
        <v/>
      </c>
      <c r="T9">
        <f>O9-P9-R9-S9</f>
        <v/>
      </c>
      <c r="U9">
        <f>U8+T9</f>
        <v/>
      </c>
    </row>
    <row r="10">
      <c r="A10" t="n">
        <v>7</v>
      </c>
      <c r="B10">
        <f>INT((A10-1)/12)+1</f>
        <v/>
      </c>
      <c r="C10">
        <f>ROUND(IF(MOD($A10,12)=0,F10,(IF(10=4,0,C9))*(1-$I10)+IF((IF(10=4,0,C9))*(1-$I10)&lt;F10,(F10-(IF(10=4,0,C9))*(1-$I10))*Hypothèses!$B$10,0)),1)</f>
        <v/>
      </c>
      <c r="D10">
        <f>ROUND(IF(MOD($A10,12)=0,G10,(IF(10=4,0,D9))*(1-$I10)+IF((IF(10=4,0,D9))*(1-$I10)&lt;G10,(G10-(IF(10=4,0,D9))*(1-$I10))*Hypothèses!$B$10,0)),1)</f>
        <v/>
      </c>
      <c r="E10">
        <f>ROUND(IF(MOD($A10,12)=0,H10,(IF(10=4,0,E9))*(1-$I10)+IF((IF(10=4,0,E9))*(1-$I10)&lt;H10,(H10-(IF(10=4,0,E9))*(1-$I10))*Hypothèses!$B$10,0)),1)</f>
        <v/>
      </c>
      <c r="F10">
        <f>(IF(B10=1,0,IF(B10=2,Hypothèses!$B$25,IF(B10=3,Hypothèses!$C$25,Hypothèses!$D$25)))+(IF(B10=1,Hypothèses!$B$25,IF(B10=2,Hypothèses!$C$25,IF(B10=3,Hypothèses!$D$25,Hypothèses!$D$25)))-(IF(B10=1,0,IF(B10=2,Hypothèses!$B$25,IF(B10=3,Hypothèses!$C$25,Hypothèses!$D$25)))))*((A10)-INT((A10-1)/12)*12)/12)*$B$1</f>
        <v/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/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/>
      </c>
      <c r="I10">
        <f>IF(A10&lt;Hypothèses!$B$7,0,Hypothèses!$B$8*(1-Hypothèses!$B$9)^(A10-Hypothèses!$B$7))</f>
        <v/>
      </c>
      <c r="J10">
        <f>C10+D10+E10</f>
        <v/>
      </c>
      <c r="K10">
        <f>(C10*Hypothèses!$B$11+D10*Hypothèses!$B$12+E10*Hypothèses!$B$13)*(IF(B10=1,Hypothèses!$B$19,IF(B10=2,Hypothèses!$B$20,Hypothèses!$B$21))+(1-(IF(B10=1,Hypothèses!$B$19,IF(B10=2,Hypothèses!$B$20,Hypothèses!$B$21))))*11/12)</f>
        <v/>
      </c>
      <c r="L10">
        <f>J10*IF(B10=1,Hypothèses!$C$19,IF(B10=2,Hypothèses!$C$20,Hypothèses!$C$21))*IF(B10=1,Hypothèses!$D$19,IF(B10=2,Hypothèses!$D$20,Hypothèses!$D$21))</f>
        <v/>
      </c>
      <c r="M10">
        <f>IF(A10=18,IF($B$2&gt;=1,Hypothèses!$B$31,0),IF(AND(OR(A10=30,A10=34),$D$2&gt;=1),Hypothèses!$B$32*MIN(1,$D$2/3),0))</f>
        <v/>
      </c>
      <c r="N10">
        <f>K10+L10+M10</f>
        <v/>
      </c>
      <c r="O10">
        <f>N10/(1+Hypothèses!$B$6)</f>
        <v/>
      </c>
      <c r="P10">
        <f>Hypothèses!$B$3*(1+Hypothèses!$B$4)^INT((A10-1)/3)</f>
        <v/>
      </c>
      <c r="Q10">
        <f>IF($A10&gt;=13,1,0)</f>
        <v/>
      </c>
      <c r="R10">
        <f>Q10*Hypothèses!$B$16</f>
        <v/>
      </c>
      <c r="S10">
        <f>O10*Hypothèses!$B$5</f>
        <v/>
      </c>
      <c r="T10">
        <f>O10-P10-R10-S10</f>
        <v/>
      </c>
      <c r="U10">
        <f>U9+T10</f>
        <v/>
      </c>
    </row>
    <row r="11">
      <c r="A11" t="n">
        <v>8</v>
      </c>
      <c r="B11">
        <f>INT((A11-1)/12)+1</f>
        <v/>
      </c>
      <c r="C11">
        <f>ROUND(IF(MOD($A11,12)=0,F11,(IF(11=4,0,C10))*(1-$I11)+IF((IF(11=4,0,C10))*(1-$I11)&lt;F11,(F11-(IF(11=4,0,C10))*(1-$I11))*Hypothèses!$B$10,0)),1)</f>
        <v/>
      </c>
      <c r="D11">
        <f>ROUND(IF(MOD($A11,12)=0,G11,(IF(11=4,0,D10))*(1-$I11)+IF((IF(11=4,0,D10))*(1-$I11)&lt;G11,(G11-(IF(11=4,0,D10))*(1-$I11))*Hypothèses!$B$10,0)),1)</f>
        <v/>
      </c>
      <c r="E11">
        <f>ROUND(IF(MOD($A11,12)=0,H11,(IF(11=4,0,E10))*(1-$I11)+IF((IF(11=4,0,E10))*(1-$I11)&lt;H11,(H11-(IF(11=4,0,E10))*(1-$I11))*Hypothèses!$B$10,0)),1)</f>
        <v/>
      </c>
      <c r="F11">
        <f>(IF(B11=1,0,IF(B11=2,Hypothèses!$B$25,IF(B11=3,Hypothèses!$C$25,Hypothèses!$D$25)))+(IF(B11=1,Hypothèses!$B$25,IF(B11=2,Hypothèses!$C$25,IF(B11=3,Hypothèses!$D$25,Hypothèses!$D$25)))-(IF(B11=1,0,IF(B11=2,Hypothèses!$B$25,IF(B11=3,Hypothèses!$C$25,Hypothèses!$D$25)))))*((A11)-INT((A11-1)/12)*12)/12)*$B$1</f>
        <v/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/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/>
      </c>
      <c r="I11">
        <f>IF(A11&lt;Hypothèses!$B$7,0,Hypothèses!$B$8*(1-Hypothèses!$B$9)^(A11-Hypothèses!$B$7))</f>
        <v/>
      </c>
      <c r="J11">
        <f>C11+D11+E11</f>
        <v/>
      </c>
      <c r="K11">
        <f>(C11*Hypothèses!$B$11+D11*Hypothèses!$B$12+E11*Hypothèses!$B$13)*(IF(B11=1,Hypothèses!$B$19,IF(B11=2,Hypothèses!$B$20,Hypothèses!$B$21))+(1-(IF(B11=1,Hypothèses!$B$19,IF(B11=2,Hypothèses!$B$20,Hypothèses!$B$21))))*11/12)</f>
        <v/>
      </c>
      <c r="L11">
        <f>J11*IF(B11=1,Hypothèses!$C$19,IF(B11=2,Hypothèses!$C$20,Hypothèses!$C$21))*IF(B11=1,Hypothèses!$D$19,IF(B11=2,Hypothèses!$D$20,Hypothèses!$D$21))</f>
        <v/>
      </c>
      <c r="M11">
        <f>IF(A11=18,IF($B$2&gt;=1,Hypothèses!$B$31,0),IF(AND(OR(A11=30,A11=34),$D$2&gt;=1),Hypothèses!$B$32*MIN(1,$D$2/3),0))</f>
        <v/>
      </c>
      <c r="N11">
        <f>K11+L11+M11</f>
        <v/>
      </c>
      <c r="O11">
        <f>N11/(1+Hypothèses!$B$6)</f>
        <v/>
      </c>
      <c r="P11">
        <f>Hypothèses!$B$3*(1+Hypothèses!$B$4)^INT((A11-1)/3)</f>
        <v/>
      </c>
      <c r="Q11">
        <f>IF($A11&gt;=13,1,0)</f>
        <v/>
      </c>
      <c r="R11">
        <f>Q11*Hypothèses!$B$16</f>
        <v/>
      </c>
      <c r="S11">
        <f>O11*Hypothèses!$B$5</f>
        <v/>
      </c>
      <c r="T11">
        <f>O11-P11-R11-S11</f>
        <v/>
      </c>
      <c r="U11">
        <f>U10+T11</f>
        <v/>
      </c>
    </row>
    <row r="12">
      <c r="A12" t="n">
        <v>9</v>
      </c>
      <c r="B12">
        <f>INT((A12-1)/12)+1</f>
        <v/>
      </c>
      <c r="C12">
        <f>ROUND(IF(MOD($A12,12)=0,F12,(IF(12=4,0,C11))*(1-$I12)+IF((IF(12=4,0,C11))*(1-$I12)&lt;F12,(F12-(IF(12=4,0,C11))*(1-$I12))*Hypothèses!$B$10,0)),1)</f>
        <v/>
      </c>
      <c r="D12">
        <f>ROUND(IF(MOD($A12,12)=0,G12,(IF(12=4,0,D11))*(1-$I12)+IF((IF(12=4,0,D11))*(1-$I12)&lt;G12,(G12-(IF(12=4,0,D11))*(1-$I12))*Hypothèses!$B$10,0)),1)</f>
        <v/>
      </c>
      <c r="E12">
        <f>ROUND(IF(MOD($A12,12)=0,H12,(IF(12=4,0,E11))*(1-$I12)+IF((IF(12=4,0,E11))*(1-$I12)&lt;H12,(H12-(IF(12=4,0,E11))*(1-$I12))*Hypothèses!$B$10,0)),1)</f>
        <v/>
      </c>
      <c r="F12">
        <f>(IF(B12=1,0,IF(B12=2,Hypothèses!$B$25,IF(B12=3,Hypothèses!$C$25,Hypothèses!$D$25)))+(IF(B12=1,Hypothèses!$B$25,IF(B12=2,Hypothèses!$C$25,IF(B12=3,Hypothèses!$D$25,Hypothèses!$D$25)))-(IF(B12=1,0,IF(B12=2,Hypothèses!$B$25,IF(B12=3,Hypothèses!$C$25,Hypothèses!$D$25)))))*((A12)-INT((A12-1)/12)*12)/12)*$B$1</f>
        <v/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/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/>
      </c>
      <c r="I12">
        <f>IF(A12&lt;Hypothèses!$B$7,0,Hypothèses!$B$8*(1-Hypothèses!$B$9)^(A12-Hypothèses!$B$7))</f>
        <v/>
      </c>
      <c r="J12">
        <f>C12+D12+E12</f>
        <v/>
      </c>
      <c r="K12">
        <f>(C12*Hypothèses!$B$11+D12*Hypothèses!$B$12+E12*Hypothèses!$B$13)*(IF(B12=1,Hypothèses!$B$19,IF(B12=2,Hypothèses!$B$20,Hypothèses!$B$21))+(1-(IF(B12=1,Hypothèses!$B$19,IF(B12=2,Hypothèses!$B$20,Hypothèses!$B$21))))*11/12)</f>
        <v/>
      </c>
      <c r="L12">
        <f>J12*IF(B12=1,Hypothèses!$C$19,IF(B12=2,Hypothèses!$C$20,Hypothèses!$C$21))*IF(B12=1,Hypothèses!$D$19,IF(B12=2,Hypothèses!$D$20,Hypothèses!$D$21))</f>
        <v/>
      </c>
      <c r="M12">
        <f>IF(A12=18,IF($B$2&gt;=1,Hypothèses!$B$31,0),IF(AND(OR(A12=30,A12=34),$D$2&gt;=1),Hypothèses!$B$32*MIN(1,$D$2/3),0))</f>
        <v/>
      </c>
      <c r="N12">
        <f>K12+L12+M12</f>
        <v/>
      </c>
      <c r="O12">
        <f>N12/(1+Hypothèses!$B$6)</f>
        <v/>
      </c>
      <c r="P12">
        <f>Hypothèses!$B$3*(1+Hypothèses!$B$4)^INT((A12-1)/3)</f>
        <v/>
      </c>
      <c r="Q12">
        <f>IF($A12&gt;=13,1,0)</f>
        <v/>
      </c>
      <c r="R12">
        <f>Q12*Hypothèses!$B$16</f>
        <v/>
      </c>
      <c r="S12">
        <f>O12*Hypothèses!$B$5</f>
        <v/>
      </c>
      <c r="T12">
        <f>O12-P12-R12-S12</f>
        <v/>
      </c>
      <c r="U12">
        <f>U11+T12</f>
        <v/>
      </c>
    </row>
    <row r="13">
      <c r="A13" t="n">
        <v>10</v>
      </c>
      <c r="B13">
        <f>INT((A13-1)/12)+1</f>
        <v/>
      </c>
      <c r="C13">
        <f>ROUND(IF(MOD($A13,12)=0,F13,(IF(13=4,0,C12))*(1-$I13)+IF((IF(13=4,0,C12))*(1-$I13)&lt;F13,(F13-(IF(13=4,0,C12))*(1-$I13))*Hypothèses!$B$10,0)),1)</f>
        <v/>
      </c>
      <c r="D13">
        <f>ROUND(IF(MOD($A13,12)=0,G13,(IF(13=4,0,D12))*(1-$I13)+IF((IF(13=4,0,D12))*(1-$I13)&lt;G13,(G13-(IF(13=4,0,D12))*(1-$I13))*Hypothèses!$B$10,0)),1)</f>
        <v/>
      </c>
      <c r="E13">
        <f>ROUND(IF(MOD($A13,12)=0,H13,(IF(13=4,0,E12))*(1-$I13)+IF((IF(13=4,0,E12))*(1-$I13)&lt;H13,(H13-(IF(13=4,0,E12))*(1-$I13))*Hypothèses!$B$10,0)),1)</f>
        <v/>
      </c>
      <c r="F13">
        <f>(IF(B13=1,0,IF(B13=2,Hypothèses!$B$25,IF(B13=3,Hypothèses!$C$25,Hypothèses!$D$25)))+(IF(B13=1,Hypothèses!$B$25,IF(B13=2,Hypothèses!$C$25,IF(B13=3,Hypothèses!$D$25,Hypothèses!$D$25)))-(IF(B13=1,0,IF(B13=2,Hypothèses!$B$25,IF(B13=3,Hypothèses!$C$25,Hypothèses!$D$25)))))*((A13)-INT((A13-1)/12)*12)/12)*$B$1</f>
        <v/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/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/>
      </c>
      <c r="I13">
        <f>IF(A13&lt;Hypothèses!$B$7,0,Hypothèses!$B$8*(1-Hypothèses!$B$9)^(A13-Hypothèses!$B$7))</f>
        <v/>
      </c>
      <c r="J13">
        <f>C13+D13+E13</f>
        <v/>
      </c>
      <c r="K13">
        <f>(C13*Hypothèses!$B$11+D13*Hypothèses!$B$12+E13*Hypothèses!$B$13)*(IF(B13=1,Hypothèses!$B$19,IF(B13=2,Hypothèses!$B$20,Hypothèses!$B$21))+(1-(IF(B13=1,Hypothèses!$B$19,IF(B13=2,Hypothèses!$B$20,Hypothèses!$B$21))))*11/12)</f>
        <v/>
      </c>
      <c r="L13">
        <f>J13*IF(B13=1,Hypothèses!$C$19,IF(B13=2,Hypothèses!$C$20,Hypothèses!$C$21))*IF(B13=1,Hypothèses!$D$19,IF(B13=2,Hypothèses!$D$20,Hypothèses!$D$21))</f>
        <v/>
      </c>
      <c r="M13">
        <f>IF(A13=18,IF($B$2&gt;=1,Hypothèses!$B$31,0),IF(AND(OR(A13=30,A13=34),$D$2&gt;=1),Hypothèses!$B$32*MIN(1,$D$2/3),0))</f>
        <v/>
      </c>
      <c r="N13">
        <f>K13+L13+M13</f>
        <v/>
      </c>
      <c r="O13">
        <f>N13/(1+Hypothèses!$B$6)</f>
        <v/>
      </c>
      <c r="P13">
        <f>Hypothèses!$B$3*(1+Hypothèses!$B$4)^INT((A13-1)/3)</f>
        <v/>
      </c>
      <c r="Q13">
        <f>IF($A13&gt;=13,1,0)</f>
        <v/>
      </c>
      <c r="R13">
        <f>Q13*Hypothèses!$B$16</f>
        <v/>
      </c>
      <c r="S13">
        <f>O13*Hypothèses!$B$5</f>
        <v/>
      </c>
      <c r="T13">
        <f>O13-P13-R13-S13</f>
        <v/>
      </c>
      <c r="U13">
        <f>U12+T13</f>
        <v/>
      </c>
    </row>
    <row r="14">
      <c r="A14" t="n">
        <v>11</v>
      </c>
      <c r="B14">
        <f>INT((A14-1)/12)+1</f>
        <v/>
      </c>
      <c r="C14">
        <f>ROUND(IF(MOD($A14,12)=0,F14,(IF(14=4,0,C13))*(1-$I14)+IF((IF(14=4,0,C13))*(1-$I14)&lt;F14,(F14-(IF(14=4,0,C13))*(1-$I14))*Hypothèses!$B$10,0)),1)</f>
        <v/>
      </c>
      <c r="D14">
        <f>ROUND(IF(MOD($A14,12)=0,G14,(IF(14=4,0,D13))*(1-$I14)+IF((IF(14=4,0,D13))*(1-$I14)&lt;G14,(G14-(IF(14=4,0,D13))*(1-$I14))*Hypothèses!$B$10,0)),1)</f>
        <v/>
      </c>
      <c r="E14">
        <f>ROUND(IF(MOD($A14,12)=0,H14,(IF(14=4,0,E13))*(1-$I14)+IF((IF(14=4,0,E13))*(1-$I14)&lt;H14,(H14-(IF(14=4,0,E13))*(1-$I14))*Hypothèses!$B$10,0)),1)</f>
        <v/>
      </c>
      <c r="F14">
        <f>(IF(B14=1,0,IF(B14=2,Hypothèses!$B$25,IF(B14=3,Hypothèses!$C$25,Hypothèses!$D$25)))+(IF(B14=1,Hypothèses!$B$25,IF(B14=2,Hypothèses!$C$25,IF(B14=3,Hypothèses!$D$25,Hypothèses!$D$25)))-(IF(B14=1,0,IF(B14=2,Hypothèses!$B$25,IF(B14=3,Hypothèses!$C$25,Hypothèses!$D$25)))))*((A14)-INT((A14-1)/12)*12)/12)*$B$1</f>
        <v/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/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/>
      </c>
      <c r="I14">
        <f>IF(A14&lt;Hypothèses!$B$7,0,Hypothèses!$B$8*(1-Hypothèses!$B$9)^(A14-Hypothèses!$B$7))</f>
        <v/>
      </c>
      <c r="J14">
        <f>C14+D14+E14</f>
        <v/>
      </c>
      <c r="K14">
        <f>(C14*Hypothèses!$B$11+D14*Hypothèses!$B$12+E14*Hypothèses!$B$13)*(IF(B14=1,Hypothèses!$B$19,IF(B14=2,Hypothèses!$B$20,Hypothèses!$B$21))+(1-(IF(B14=1,Hypothèses!$B$19,IF(B14=2,Hypothèses!$B$20,Hypothèses!$B$21))))*11/12)</f>
        <v/>
      </c>
      <c r="L14">
        <f>J14*IF(B14=1,Hypothèses!$C$19,IF(B14=2,Hypothèses!$C$20,Hypothèses!$C$21))*IF(B14=1,Hypothèses!$D$19,IF(B14=2,Hypothèses!$D$20,Hypothèses!$D$21))</f>
        <v/>
      </c>
      <c r="M14">
        <f>IF(A14=18,IF($B$2&gt;=1,Hypothèses!$B$31,0),IF(AND(OR(A14=30,A14=34),$D$2&gt;=1),Hypothèses!$B$32*MIN(1,$D$2/3),0))</f>
        <v/>
      </c>
      <c r="N14">
        <f>K14+L14+M14</f>
        <v/>
      </c>
      <c r="O14">
        <f>N14/(1+Hypothèses!$B$6)</f>
        <v/>
      </c>
      <c r="P14">
        <f>Hypothèses!$B$3*(1+Hypothèses!$B$4)^INT((A14-1)/3)</f>
        <v/>
      </c>
      <c r="Q14">
        <f>IF($A14&gt;=13,1,0)</f>
        <v/>
      </c>
      <c r="R14">
        <f>Q14*Hypothèses!$B$16</f>
        <v/>
      </c>
      <c r="S14">
        <f>O14*Hypothèses!$B$5</f>
        <v/>
      </c>
      <c r="T14">
        <f>O14-P14-R14-S14</f>
        <v/>
      </c>
      <c r="U14">
        <f>U13+T14</f>
        <v/>
      </c>
    </row>
    <row r="15">
      <c r="A15" t="n">
        <v>12</v>
      </c>
      <c r="B15">
        <f>INT((A15-1)/12)+1</f>
        <v/>
      </c>
      <c r="C15">
        <f>ROUND(IF(MOD($A15,12)=0,F15,(IF(15=4,0,C14))*(1-$I15)+IF((IF(15=4,0,C14))*(1-$I15)&lt;F15,(F15-(IF(15=4,0,C14))*(1-$I15))*Hypothèses!$B$10,0)),1)</f>
        <v/>
      </c>
      <c r="D15">
        <f>ROUND(IF(MOD($A15,12)=0,G15,(IF(15=4,0,D14))*(1-$I15)+IF((IF(15=4,0,D14))*(1-$I15)&lt;G15,(G15-(IF(15=4,0,D14))*(1-$I15))*Hypothèses!$B$10,0)),1)</f>
        <v/>
      </c>
      <c r="E15">
        <f>ROUND(IF(MOD($A15,12)=0,H15,(IF(15=4,0,E14))*(1-$I15)+IF((IF(15=4,0,E14))*(1-$I15)&lt;H15,(H15-(IF(15=4,0,E14))*(1-$I15))*Hypothèses!$B$10,0)),1)</f>
        <v/>
      </c>
      <c r="F15">
        <f>(IF(B15=1,0,IF(B15=2,Hypothèses!$B$25,IF(B15=3,Hypothèses!$C$25,Hypothèses!$D$25)))+(IF(B15=1,Hypothèses!$B$25,IF(B15=2,Hypothèses!$C$25,IF(B15=3,Hypothèses!$D$25,Hypothèses!$D$25)))-(IF(B15=1,0,IF(B15=2,Hypothèses!$B$25,IF(B15=3,Hypothèses!$C$25,Hypothèses!$D$25)))))*((A15)-INT((A15-1)/12)*12)/12)*$B$1</f>
        <v/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/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/>
      </c>
      <c r="I15">
        <f>IF(A15&lt;Hypothèses!$B$7,0,Hypothèses!$B$8*(1-Hypothèses!$B$9)^(A15-Hypothèses!$B$7))</f>
        <v/>
      </c>
      <c r="J15">
        <f>C15+D15+E15</f>
        <v/>
      </c>
      <c r="K15">
        <f>(C15*Hypothèses!$B$11+D15*Hypothèses!$B$12+E15*Hypothèses!$B$13)*(IF(B15=1,Hypothèses!$B$19,IF(B15=2,Hypothèses!$B$20,Hypothèses!$B$21))+(1-(IF(B15=1,Hypothèses!$B$19,IF(B15=2,Hypothèses!$B$20,Hypothèses!$B$21))))*11/12)</f>
        <v/>
      </c>
      <c r="L15">
        <f>J15*IF(B15=1,Hypothèses!$C$19,IF(B15=2,Hypothèses!$C$20,Hypothèses!$C$21))*IF(B15=1,Hypothèses!$D$19,IF(B15=2,Hypothèses!$D$20,Hypothèses!$D$21))</f>
        <v/>
      </c>
      <c r="M15">
        <f>IF(A15=18,IF($B$2&gt;=1,Hypothèses!$B$31,0),IF(AND(OR(A15=30,A15=34),$D$2&gt;=1),Hypothèses!$B$32*MIN(1,$D$2/3),0))</f>
        <v/>
      </c>
      <c r="N15">
        <f>K15+L15+M15</f>
        <v/>
      </c>
      <c r="O15">
        <f>N15/(1+Hypothèses!$B$6)</f>
        <v/>
      </c>
      <c r="P15">
        <f>Hypothèses!$B$3*(1+Hypothèses!$B$4)^INT((A15-1)/3)</f>
        <v/>
      </c>
      <c r="Q15">
        <f>IF($A15&gt;=13,1,0)</f>
        <v/>
      </c>
      <c r="R15">
        <f>Q15*Hypothèses!$B$16</f>
        <v/>
      </c>
      <c r="S15">
        <f>O15*Hypothèses!$B$5</f>
        <v/>
      </c>
      <c r="T15">
        <f>O15-P15-R15-S15</f>
        <v/>
      </c>
      <c r="U15">
        <f>U14+T15</f>
        <v/>
      </c>
    </row>
    <row r="16">
      <c r="A16" t="n">
        <v>13</v>
      </c>
      <c r="B16">
        <f>INT((A16-1)/12)+1</f>
        <v/>
      </c>
      <c r="C16">
        <f>ROUND(IF(MOD($A16,12)=0,F16,(IF(16=4,0,C15))*(1-$I16)+IF((IF(16=4,0,C15))*(1-$I16)&lt;F16,(F16-(IF(16=4,0,C15))*(1-$I16))*Hypothèses!$B$10,0)),1)</f>
        <v/>
      </c>
      <c r="D16">
        <f>ROUND(IF(MOD($A16,12)=0,G16,(IF(16=4,0,D15))*(1-$I16)+IF((IF(16=4,0,D15))*(1-$I16)&lt;G16,(G16-(IF(16=4,0,D15))*(1-$I16))*Hypothèses!$B$10,0)),1)</f>
        <v/>
      </c>
      <c r="E16">
        <f>ROUND(IF(MOD($A16,12)=0,H16,(IF(16=4,0,E15))*(1-$I16)+IF((IF(16=4,0,E15))*(1-$I16)&lt;H16,(H16-(IF(16=4,0,E15))*(1-$I16))*Hypothèses!$B$10,0)),1)</f>
        <v/>
      </c>
      <c r="F16">
        <f>(IF(B16=1,0,IF(B16=2,Hypothèses!$B$25,IF(B16=3,Hypothèses!$C$25,Hypothèses!$D$25)))+(IF(B16=1,Hypothèses!$B$25,IF(B16=2,Hypothèses!$C$25,IF(B16=3,Hypothèses!$D$25,Hypothèses!$D$25)))-(IF(B16=1,0,IF(B16=2,Hypothèses!$B$25,IF(B16=3,Hypothèses!$C$25,Hypothèses!$D$25)))))*((A16)-INT((A16-1)/12)*12)/12)*$B$1</f>
        <v/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/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/>
      </c>
      <c r="I16">
        <f>IF(A16&lt;Hypothèses!$B$7,0,Hypothèses!$B$8*(1-Hypothèses!$B$9)^(A16-Hypothèses!$B$7))</f>
        <v/>
      </c>
      <c r="J16">
        <f>C16+D16+E16</f>
        <v/>
      </c>
      <c r="K16">
        <f>(C16*Hypothèses!$B$11+D16*Hypothèses!$B$12+E16*Hypothèses!$B$13)*(IF(B16=1,Hypothèses!$B$19,IF(B16=2,Hypothèses!$B$20,Hypothèses!$B$21))+(1-(IF(B16=1,Hypothèses!$B$19,IF(B16=2,Hypothèses!$B$20,Hypothèses!$B$21))))*11/12)</f>
        <v/>
      </c>
      <c r="L16">
        <f>J16*IF(B16=1,Hypothèses!$C$19,IF(B16=2,Hypothèses!$C$20,Hypothèses!$C$21))*IF(B16=1,Hypothèses!$D$19,IF(B16=2,Hypothèses!$D$20,Hypothèses!$D$21))</f>
        <v/>
      </c>
      <c r="M16">
        <f>IF(A16=18,IF($B$2&gt;=1,Hypothèses!$B$31,0),IF(AND(OR(A16=30,A16=34),$D$2&gt;=1),Hypothèses!$B$32*MIN(1,$D$2/3),0))</f>
        <v/>
      </c>
      <c r="N16">
        <f>K16+L16+M16</f>
        <v/>
      </c>
      <c r="O16">
        <f>N16/(1+Hypothèses!$B$6)</f>
        <v/>
      </c>
      <c r="P16">
        <f>Hypothèses!$B$3*(1+Hypothèses!$B$4)^INT((A16-1)/3)</f>
        <v/>
      </c>
      <c r="Q16">
        <f>IF($A16&gt;=13,1,0)</f>
        <v/>
      </c>
      <c r="R16">
        <f>Q16*Hypothèses!$B$16</f>
        <v/>
      </c>
      <c r="S16">
        <f>O16*Hypothèses!$B$5</f>
        <v/>
      </c>
      <c r="T16">
        <f>O16-P16-R16-S16</f>
        <v/>
      </c>
      <c r="U16">
        <f>U15+T16</f>
        <v/>
      </c>
    </row>
    <row r="17">
      <c r="A17" t="n">
        <v>14</v>
      </c>
      <c r="B17">
        <f>INT((A17-1)/12)+1</f>
        <v/>
      </c>
      <c r="C17">
        <f>ROUND(IF(MOD($A17,12)=0,F17,(IF(17=4,0,C16))*(1-$I17)+IF((IF(17=4,0,C16))*(1-$I17)&lt;F17,(F17-(IF(17=4,0,C16))*(1-$I17))*Hypothèses!$B$10,0)),1)</f>
        <v/>
      </c>
      <c r="D17">
        <f>ROUND(IF(MOD($A17,12)=0,G17,(IF(17=4,0,D16))*(1-$I17)+IF((IF(17=4,0,D16))*(1-$I17)&lt;G17,(G17-(IF(17=4,0,D16))*(1-$I17))*Hypothèses!$B$10,0)),1)</f>
        <v/>
      </c>
      <c r="E17">
        <f>ROUND(IF(MOD($A17,12)=0,H17,(IF(17=4,0,E16))*(1-$I17)+IF((IF(17=4,0,E16))*(1-$I17)&lt;H17,(H17-(IF(17=4,0,E16))*(1-$I17))*Hypothèses!$B$10,0)),1)</f>
        <v/>
      </c>
      <c r="F17">
        <f>(IF(B17=1,0,IF(B17=2,Hypothèses!$B$25,IF(B17=3,Hypothèses!$C$25,Hypothèses!$D$25)))+(IF(B17=1,Hypothèses!$B$25,IF(B17=2,Hypothèses!$C$25,IF(B17=3,Hypothèses!$D$25,Hypothèses!$D$25)))-(IF(B17=1,0,IF(B17=2,Hypothèses!$B$25,IF(B17=3,Hypothèses!$C$25,Hypothèses!$D$25)))))*((A17)-INT((A17-1)/12)*12)/12)*$B$1</f>
        <v/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/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/>
      </c>
      <c r="I17">
        <f>IF(A17&lt;Hypothèses!$B$7,0,Hypothèses!$B$8*(1-Hypothèses!$B$9)^(A17-Hypothèses!$B$7))</f>
        <v/>
      </c>
      <c r="J17">
        <f>C17+D17+E17</f>
        <v/>
      </c>
      <c r="K17">
        <f>(C17*Hypothèses!$B$11+D17*Hypothèses!$B$12+E17*Hypothèses!$B$13)*(IF(B17=1,Hypothèses!$B$19,IF(B17=2,Hypothèses!$B$20,Hypothèses!$B$21))+(1-(IF(B17=1,Hypothèses!$B$19,IF(B17=2,Hypothèses!$B$20,Hypothèses!$B$21))))*11/12)</f>
        <v/>
      </c>
      <c r="L17">
        <f>J17*IF(B17=1,Hypothèses!$C$19,IF(B17=2,Hypothèses!$C$20,Hypothèses!$C$21))*IF(B17=1,Hypothèses!$D$19,IF(B17=2,Hypothèses!$D$20,Hypothèses!$D$21))</f>
        <v/>
      </c>
      <c r="M17">
        <f>IF(A17=18,IF($B$2&gt;=1,Hypothèses!$B$31,0),IF(AND(OR(A17=30,A17=34),$D$2&gt;=1),Hypothèses!$B$32*MIN(1,$D$2/3),0))</f>
        <v/>
      </c>
      <c r="N17">
        <f>K17+L17+M17</f>
        <v/>
      </c>
      <c r="O17">
        <f>N17/(1+Hypothèses!$B$6)</f>
        <v/>
      </c>
      <c r="P17">
        <f>Hypothèses!$B$3*(1+Hypothèses!$B$4)^INT((A17-1)/3)</f>
        <v/>
      </c>
      <c r="Q17">
        <f>IF($A17&gt;=13,1,0)</f>
        <v/>
      </c>
      <c r="R17">
        <f>Q17*Hypothèses!$B$16</f>
        <v/>
      </c>
      <c r="S17">
        <f>O17*Hypothèses!$B$5</f>
        <v/>
      </c>
      <c r="T17">
        <f>O17-P17-R17-S17</f>
        <v/>
      </c>
      <c r="U17">
        <f>U16+T17</f>
        <v/>
      </c>
    </row>
    <row r="18">
      <c r="A18" t="n">
        <v>15</v>
      </c>
      <c r="B18">
        <f>INT((A18-1)/12)+1</f>
        <v/>
      </c>
      <c r="C18">
        <f>ROUND(IF(MOD($A18,12)=0,F18,(IF(18=4,0,C17))*(1-$I18)+IF((IF(18=4,0,C17))*(1-$I18)&lt;F18,(F18-(IF(18=4,0,C17))*(1-$I18))*Hypothèses!$B$10,0)),1)</f>
        <v/>
      </c>
      <c r="D18">
        <f>ROUND(IF(MOD($A18,12)=0,G18,(IF(18=4,0,D17))*(1-$I18)+IF((IF(18=4,0,D17))*(1-$I18)&lt;G18,(G18-(IF(18=4,0,D17))*(1-$I18))*Hypothèses!$B$10,0)),1)</f>
        <v/>
      </c>
      <c r="E18">
        <f>ROUND(IF(MOD($A18,12)=0,H18,(IF(18=4,0,E17))*(1-$I18)+IF((IF(18=4,0,E17))*(1-$I18)&lt;H18,(H18-(IF(18=4,0,E17))*(1-$I18))*Hypothèses!$B$10,0)),1)</f>
        <v/>
      </c>
      <c r="F18">
        <f>(IF(B18=1,0,IF(B18=2,Hypothèses!$B$25,IF(B18=3,Hypothèses!$C$25,Hypothèses!$D$25)))+(IF(B18=1,Hypothèses!$B$25,IF(B18=2,Hypothèses!$C$25,IF(B18=3,Hypothèses!$D$25,Hypothèses!$D$25)))-(IF(B18=1,0,IF(B18=2,Hypothèses!$B$25,IF(B18=3,Hypothèses!$C$25,Hypothèses!$D$25)))))*((A18)-INT((A18-1)/12)*12)/12)*$B$1</f>
        <v/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/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/>
      </c>
      <c r="I18">
        <f>IF(A18&lt;Hypothèses!$B$7,0,Hypothèses!$B$8*(1-Hypothèses!$B$9)^(A18-Hypothèses!$B$7))</f>
        <v/>
      </c>
      <c r="J18">
        <f>C18+D18+E18</f>
        <v/>
      </c>
      <c r="K18">
        <f>(C18*Hypothèses!$B$11+D18*Hypothèses!$B$12+E18*Hypothèses!$B$13)*(IF(B18=1,Hypothèses!$B$19,IF(B18=2,Hypothèses!$B$20,Hypothèses!$B$21))+(1-(IF(B18=1,Hypothèses!$B$19,IF(B18=2,Hypothèses!$B$20,Hypothèses!$B$21))))*11/12)</f>
        <v/>
      </c>
      <c r="L18">
        <f>J18*IF(B18=1,Hypothèses!$C$19,IF(B18=2,Hypothèses!$C$20,Hypothèses!$C$21))*IF(B18=1,Hypothèses!$D$19,IF(B18=2,Hypothèses!$D$20,Hypothèses!$D$21))</f>
        <v/>
      </c>
      <c r="M18">
        <f>IF(A18=18,IF($B$2&gt;=1,Hypothèses!$B$31,0),IF(AND(OR(A18=30,A18=34),$D$2&gt;=1),Hypothèses!$B$32*MIN(1,$D$2/3),0))</f>
        <v/>
      </c>
      <c r="N18">
        <f>K18+L18+M18</f>
        <v/>
      </c>
      <c r="O18">
        <f>N18/(1+Hypothèses!$B$6)</f>
        <v/>
      </c>
      <c r="P18">
        <f>Hypothèses!$B$3*(1+Hypothèses!$B$4)^INT((A18-1)/3)</f>
        <v/>
      </c>
      <c r="Q18">
        <f>IF($A18&gt;=13,1,0)</f>
        <v/>
      </c>
      <c r="R18">
        <f>Q18*Hypothèses!$B$16</f>
        <v/>
      </c>
      <c r="S18">
        <f>O18*Hypothèses!$B$5</f>
        <v/>
      </c>
      <c r="T18">
        <f>O18-P18-R18-S18</f>
        <v/>
      </c>
      <c r="U18">
        <f>U17+T18</f>
        <v/>
      </c>
    </row>
    <row r="19">
      <c r="A19" t="n">
        <v>16</v>
      </c>
      <c r="B19">
        <f>INT((A19-1)/12)+1</f>
        <v/>
      </c>
      <c r="C19">
        <f>ROUND(IF(MOD($A19,12)=0,F19,(IF(19=4,0,C18))*(1-$I19)+IF((IF(19=4,0,C18))*(1-$I19)&lt;F19,(F19-(IF(19=4,0,C18))*(1-$I19))*Hypothèses!$B$10,0)),1)</f>
        <v/>
      </c>
      <c r="D19">
        <f>ROUND(IF(MOD($A19,12)=0,G19,(IF(19=4,0,D18))*(1-$I19)+IF((IF(19=4,0,D18))*(1-$I19)&lt;G19,(G19-(IF(19=4,0,D18))*(1-$I19))*Hypothèses!$B$10,0)),1)</f>
        <v/>
      </c>
      <c r="E19">
        <f>ROUND(IF(MOD($A19,12)=0,H19,(IF(19=4,0,E18))*(1-$I19)+IF((IF(19=4,0,E18))*(1-$I19)&lt;H19,(H19-(IF(19=4,0,E18))*(1-$I19))*Hypothèses!$B$10,0)),1)</f>
        <v/>
      </c>
      <c r="F19">
        <f>(IF(B19=1,0,IF(B19=2,Hypothèses!$B$25,IF(B19=3,Hypothèses!$C$25,Hypothèses!$D$25)))+(IF(B19=1,Hypothèses!$B$25,IF(B19=2,Hypothèses!$C$25,IF(B19=3,Hypothèses!$D$25,Hypothèses!$D$25)))-(IF(B19=1,0,IF(B19=2,Hypothèses!$B$25,IF(B19=3,Hypothèses!$C$25,Hypothèses!$D$25)))))*((A19)-INT((A19-1)/12)*12)/12)*$B$1</f>
        <v/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/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/>
      </c>
      <c r="I19">
        <f>IF(A19&lt;Hypothèses!$B$7,0,Hypothèses!$B$8*(1-Hypothèses!$B$9)^(A19-Hypothèses!$B$7))</f>
        <v/>
      </c>
      <c r="J19">
        <f>C19+D19+E19</f>
        <v/>
      </c>
      <c r="K19">
        <f>(C19*Hypothèses!$B$11+D19*Hypothèses!$B$12+E19*Hypothèses!$B$13)*(IF(B19=1,Hypothèses!$B$19,IF(B19=2,Hypothèses!$B$20,Hypothèses!$B$21))+(1-(IF(B19=1,Hypothèses!$B$19,IF(B19=2,Hypothèses!$B$20,Hypothèses!$B$21))))*11/12)</f>
        <v/>
      </c>
      <c r="L19">
        <f>J19*IF(B19=1,Hypothèses!$C$19,IF(B19=2,Hypothèses!$C$20,Hypothèses!$C$21))*IF(B19=1,Hypothèses!$D$19,IF(B19=2,Hypothèses!$D$20,Hypothèses!$D$21))</f>
        <v/>
      </c>
      <c r="M19">
        <f>IF(A19=18,IF($B$2&gt;=1,Hypothèses!$B$31,0),IF(AND(OR(A19=30,A19=34),$D$2&gt;=1),Hypothèses!$B$32*MIN(1,$D$2/3),0))</f>
        <v/>
      </c>
      <c r="N19">
        <f>K19+L19+M19</f>
        <v/>
      </c>
      <c r="O19">
        <f>N19/(1+Hypothèses!$B$6)</f>
        <v/>
      </c>
      <c r="P19">
        <f>Hypothèses!$B$3*(1+Hypothèses!$B$4)^INT((A19-1)/3)</f>
        <v/>
      </c>
      <c r="Q19">
        <f>IF($A19&gt;=13,1,0)</f>
        <v/>
      </c>
      <c r="R19">
        <f>Q19*Hypothèses!$B$16</f>
        <v/>
      </c>
      <c r="S19">
        <f>O19*Hypothèses!$B$5</f>
        <v/>
      </c>
      <c r="T19">
        <f>O19-P19-R19-S19</f>
        <v/>
      </c>
      <c r="U19">
        <f>U18+T19</f>
        <v/>
      </c>
    </row>
    <row r="20">
      <c r="A20" t="n">
        <v>17</v>
      </c>
      <c r="B20">
        <f>INT((A20-1)/12)+1</f>
        <v/>
      </c>
      <c r="C20">
        <f>ROUND(IF(MOD($A20,12)=0,F20,(IF(20=4,0,C19))*(1-$I20)+IF((IF(20=4,0,C19))*(1-$I20)&lt;F20,(F20-(IF(20=4,0,C19))*(1-$I20))*Hypothèses!$B$10,0)),1)</f>
        <v/>
      </c>
      <c r="D20">
        <f>ROUND(IF(MOD($A20,12)=0,G20,(IF(20=4,0,D19))*(1-$I20)+IF((IF(20=4,0,D19))*(1-$I20)&lt;G20,(G20-(IF(20=4,0,D19))*(1-$I20))*Hypothèses!$B$10,0)),1)</f>
        <v/>
      </c>
      <c r="E20">
        <f>ROUND(IF(MOD($A20,12)=0,H20,(IF(20=4,0,E19))*(1-$I20)+IF((IF(20=4,0,E19))*(1-$I20)&lt;H20,(H20-(IF(20=4,0,E19))*(1-$I20))*Hypothèses!$B$10,0)),1)</f>
        <v/>
      </c>
      <c r="F20">
        <f>(IF(B20=1,0,IF(B20=2,Hypothèses!$B$25,IF(B20=3,Hypothèses!$C$25,Hypothèses!$D$25)))+(IF(B20=1,Hypothèses!$B$25,IF(B20=2,Hypothèses!$C$25,IF(B20=3,Hypothèses!$D$25,Hypothèses!$D$25)))-(IF(B20=1,0,IF(B20=2,Hypothèses!$B$25,IF(B20=3,Hypothèses!$C$25,Hypothèses!$D$25)))))*((A20)-INT((A20-1)/12)*12)/12)*$B$1</f>
        <v/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/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/>
      </c>
      <c r="I20">
        <f>IF(A20&lt;Hypothèses!$B$7,0,Hypothèses!$B$8*(1-Hypothèses!$B$9)^(A20-Hypothèses!$B$7))</f>
        <v/>
      </c>
      <c r="J20">
        <f>C20+D20+E20</f>
        <v/>
      </c>
      <c r="K20">
        <f>(C20*Hypothèses!$B$11+D20*Hypothèses!$B$12+E20*Hypothèses!$B$13)*(IF(B20=1,Hypothèses!$B$19,IF(B20=2,Hypothèses!$B$20,Hypothèses!$B$21))+(1-(IF(B20=1,Hypothèses!$B$19,IF(B20=2,Hypothèses!$B$20,Hypothèses!$B$21))))*11/12)</f>
        <v/>
      </c>
      <c r="L20">
        <f>J20*IF(B20=1,Hypothèses!$C$19,IF(B20=2,Hypothèses!$C$20,Hypothèses!$C$21))*IF(B20=1,Hypothèses!$D$19,IF(B20=2,Hypothèses!$D$20,Hypothèses!$D$21))</f>
        <v/>
      </c>
      <c r="M20">
        <f>IF(A20=18,IF($B$2&gt;=1,Hypothèses!$B$31,0),IF(AND(OR(A20=30,A20=34),$D$2&gt;=1),Hypothèses!$B$32*MIN(1,$D$2/3),0))</f>
        <v/>
      </c>
      <c r="N20">
        <f>K20+L20+M20</f>
        <v/>
      </c>
      <c r="O20">
        <f>N20/(1+Hypothèses!$B$6)</f>
        <v/>
      </c>
      <c r="P20">
        <f>Hypothèses!$B$3*(1+Hypothèses!$B$4)^INT((A20-1)/3)</f>
        <v/>
      </c>
      <c r="Q20">
        <f>IF($A20&gt;=13,1,0)</f>
        <v/>
      </c>
      <c r="R20">
        <f>Q20*Hypothèses!$B$16</f>
        <v/>
      </c>
      <c r="S20">
        <f>O20*Hypothèses!$B$5</f>
        <v/>
      </c>
      <c r="T20">
        <f>O20-P20-R20-S20</f>
        <v/>
      </c>
      <c r="U20">
        <f>U19+T20</f>
        <v/>
      </c>
    </row>
    <row r="21">
      <c r="A21" t="n">
        <v>18</v>
      </c>
      <c r="B21">
        <f>INT((A21-1)/12)+1</f>
        <v/>
      </c>
      <c r="C21">
        <f>ROUND(IF(MOD($A21,12)=0,F21,(IF(21=4,0,C20))*(1-$I21)+IF((IF(21=4,0,C20))*(1-$I21)&lt;F21,(F21-(IF(21=4,0,C20))*(1-$I21))*Hypothèses!$B$10,0)),1)</f>
        <v/>
      </c>
      <c r="D21">
        <f>ROUND(IF(MOD($A21,12)=0,G21,(IF(21=4,0,D20))*(1-$I21)+IF((IF(21=4,0,D20))*(1-$I21)&lt;G21,(G21-(IF(21=4,0,D20))*(1-$I21))*Hypothèses!$B$10,0)),1)</f>
        <v/>
      </c>
      <c r="E21">
        <f>ROUND(IF(MOD($A21,12)=0,H21,(IF(21=4,0,E20))*(1-$I21)+IF((IF(21=4,0,E20))*(1-$I21)&lt;H21,(H21-(IF(21=4,0,E20))*(1-$I21))*Hypothèses!$B$10,0)),1)</f>
        <v/>
      </c>
      <c r="F21">
        <f>(IF(B21=1,0,IF(B21=2,Hypothèses!$B$25,IF(B21=3,Hypothèses!$C$25,Hypothèses!$D$25)))+(IF(B21=1,Hypothèses!$B$25,IF(B21=2,Hypothèses!$C$25,IF(B21=3,Hypothèses!$D$25,Hypothèses!$D$25)))-(IF(B21=1,0,IF(B21=2,Hypothèses!$B$25,IF(B21=3,Hypothèses!$C$25,Hypothèses!$D$25)))))*((A21)-INT((A21-1)/12)*12)/12)*$B$1</f>
        <v/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/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/>
      </c>
      <c r="I21">
        <f>IF(A21&lt;Hypothèses!$B$7,0,Hypothèses!$B$8*(1-Hypothèses!$B$9)^(A21-Hypothèses!$B$7))</f>
        <v/>
      </c>
      <c r="J21">
        <f>C21+D21+E21</f>
        <v/>
      </c>
      <c r="K21">
        <f>(C21*Hypothèses!$B$11+D21*Hypothèses!$B$12+E21*Hypothèses!$B$13)*(IF(B21=1,Hypothèses!$B$19,IF(B21=2,Hypothèses!$B$20,Hypothèses!$B$21))+(1-(IF(B21=1,Hypothèses!$B$19,IF(B21=2,Hypothèses!$B$20,Hypothèses!$B$21))))*11/12)</f>
        <v/>
      </c>
      <c r="L21">
        <f>J21*IF(B21=1,Hypothèses!$C$19,IF(B21=2,Hypothèses!$C$20,Hypothèses!$C$21))*IF(B21=1,Hypothèses!$D$19,IF(B21=2,Hypothèses!$D$20,Hypothèses!$D$21))</f>
        <v/>
      </c>
      <c r="M21">
        <f>IF(A21=18,IF($B$2&gt;=1,Hypothèses!$B$31,0),IF(AND(OR(A21=30,A21=34),$D$2&gt;=1),Hypothèses!$B$32*MIN(1,$D$2/3),0))</f>
        <v/>
      </c>
      <c r="N21">
        <f>K21+L21+M21</f>
        <v/>
      </c>
      <c r="O21">
        <f>N21/(1+Hypothèses!$B$6)</f>
        <v/>
      </c>
      <c r="P21">
        <f>Hypothèses!$B$3*(1+Hypothèses!$B$4)^INT((A21-1)/3)</f>
        <v/>
      </c>
      <c r="Q21">
        <f>IF($A21&gt;=13,1,0)</f>
        <v/>
      </c>
      <c r="R21">
        <f>Q21*Hypothèses!$B$16</f>
        <v/>
      </c>
      <c r="S21">
        <f>O21*Hypothèses!$B$5</f>
        <v/>
      </c>
      <c r="T21">
        <f>O21-P21-R21-S21</f>
        <v/>
      </c>
      <c r="U21">
        <f>U20+T21</f>
        <v/>
      </c>
    </row>
    <row r="22">
      <c r="A22" t="n">
        <v>19</v>
      </c>
      <c r="B22">
        <f>INT((A22-1)/12)+1</f>
        <v/>
      </c>
      <c r="C22">
        <f>ROUND(IF(MOD($A22,12)=0,F22,(IF(22=4,0,C21))*(1-$I22)+IF((IF(22=4,0,C21))*(1-$I22)&lt;F22,(F22-(IF(22=4,0,C21))*(1-$I22))*Hypothèses!$B$10,0)),1)</f>
        <v/>
      </c>
      <c r="D22">
        <f>ROUND(IF(MOD($A22,12)=0,G22,(IF(22=4,0,D21))*(1-$I22)+IF((IF(22=4,0,D21))*(1-$I22)&lt;G22,(G22-(IF(22=4,0,D21))*(1-$I22))*Hypothèses!$B$10,0)),1)</f>
        <v/>
      </c>
      <c r="E22">
        <f>ROUND(IF(MOD($A22,12)=0,H22,(IF(22=4,0,E21))*(1-$I22)+IF((IF(22=4,0,E21))*(1-$I22)&lt;H22,(H22-(IF(22=4,0,E21))*(1-$I22))*Hypothèses!$B$10,0)),1)</f>
        <v/>
      </c>
      <c r="F22">
        <f>(IF(B22=1,0,IF(B22=2,Hypothèses!$B$25,IF(B22=3,Hypothèses!$C$25,Hypothèses!$D$25)))+(IF(B22=1,Hypothèses!$B$25,IF(B22=2,Hypothèses!$C$25,IF(B22=3,Hypothèses!$D$25,Hypothèses!$D$25)))-(IF(B22=1,0,IF(B22=2,Hypothèses!$B$25,IF(B22=3,Hypothèses!$C$25,Hypothèses!$D$25)))))*((A22)-INT((A22-1)/12)*12)/12)*$B$1</f>
        <v/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/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/>
      </c>
      <c r="I22">
        <f>IF(A22&lt;Hypothèses!$B$7,0,Hypothèses!$B$8*(1-Hypothèses!$B$9)^(A22-Hypothèses!$B$7))</f>
        <v/>
      </c>
      <c r="J22">
        <f>C22+D22+E22</f>
        <v/>
      </c>
      <c r="K22">
        <f>(C22*Hypothèses!$B$11+D22*Hypothèses!$B$12+E22*Hypothèses!$B$13)*(IF(B22=1,Hypothèses!$B$19,IF(B22=2,Hypothèses!$B$20,Hypothèses!$B$21))+(1-(IF(B22=1,Hypothèses!$B$19,IF(B22=2,Hypothèses!$B$20,Hypothèses!$B$21))))*11/12)</f>
        <v/>
      </c>
      <c r="L22">
        <f>J22*IF(B22=1,Hypothèses!$C$19,IF(B22=2,Hypothèses!$C$20,Hypothèses!$C$21))*IF(B22=1,Hypothèses!$D$19,IF(B22=2,Hypothèses!$D$20,Hypothèses!$D$21))</f>
        <v/>
      </c>
      <c r="M22">
        <f>IF(A22=18,IF($B$2&gt;=1,Hypothèses!$B$31,0),IF(AND(OR(A22=30,A22=34),$D$2&gt;=1),Hypothèses!$B$32*MIN(1,$D$2/3),0))</f>
        <v/>
      </c>
      <c r="N22">
        <f>K22+L22+M22</f>
        <v/>
      </c>
      <c r="O22">
        <f>N22/(1+Hypothèses!$B$6)</f>
        <v/>
      </c>
      <c r="P22">
        <f>Hypothèses!$B$3*(1+Hypothèses!$B$4)^INT((A22-1)/3)</f>
        <v/>
      </c>
      <c r="Q22">
        <f>IF($A22&gt;=13,1,0)</f>
        <v/>
      </c>
      <c r="R22">
        <f>Q22*Hypothèses!$B$16</f>
        <v/>
      </c>
      <c r="S22">
        <f>O22*Hypothèses!$B$5</f>
        <v/>
      </c>
      <c r="T22">
        <f>O22-P22-R22-S22</f>
        <v/>
      </c>
      <c r="U22">
        <f>U21+T22</f>
        <v/>
      </c>
    </row>
    <row r="23">
      <c r="A23" t="n">
        <v>20</v>
      </c>
      <c r="B23">
        <f>INT((A23-1)/12)+1</f>
        <v/>
      </c>
      <c r="C23">
        <f>ROUND(IF(MOD($A23,12)=0,F23,(IF(23=4,0,C22))*(1-$I23)+IF((IF(23=4,0,C22))*(1-$I23)&lt;F23,(F23-(IF(23=4,0,C22))*(1-$I23))*Hypothèses!$B$10,0)),1)</f>
        <v/>
      </c>
      <c r="D23">
        <f>ROUND(IF(MOD($A23,12)=0,G23,(IF(23=4,0,D22))*(1-$I23)+IF((IF(23=4,0,D22))*(1-$I23)&lt;G23,(G23-(IF(23=4,0,D22))*(1-$I23))*Hypothèses!$B$10,0)),1)</f>
        <v/>
      </c>
      <c r="E23">
        <f>ROUND(IF(MOD($A23,12)=0,H23,(IF(23=4,0,E22))*(1-$I23)+IF((IF(23=4,0,E22))*(1-$I23)&lt;H23,(H23-(IF(23=4,0,E22))*(1-$I23))*Hypothèses!$B$10,0)),1)</f>
        <v/>
      </c>
      <c r="F23">
        <f>(IF(B23=1,0,IF(B23=2,Hypothèses!$B$25,IF(B23=3,Hypothèses!$C$25,Hypothèses!$D$25)))+(IF(B23=1,Hypothèses!$B$25,IF(B23=2,Hypothèses!$C$25,IF(B23=3,Hypothèses!$D$25,Hypothèses!$D$25)))-(IF(B23=1,0,IF(B23=2,Hypothèses!$B$25,IF(B23=3,Hypothèses!$C$25,Hypothèses!$D$25)))))*((A23)-INT((A23-1)/12)*12)/12)*$B$1</f>
        <v/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/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/>
      </c>
      <c r="I23">
        <f>IF(A23&lt;Hypothèses!$B$7,0,Hypothèses!$B$8*(1-Hypothèses!$B$9)^(A23-Hypothèses!$B$7))</f>
        <v/>
      </c>
      <c r="J23">
        <f>C23+D23+E23</f>
        <v/>
      </c>
      <c r="K23">
        <f>(C23*Hypothèses!$B$11+D23*Hypothèses!$B$12+E23*Hypothèses!$B$13)*(IF(B23=1,Hypothèses!$B$19,IF(B23=2,Hypothèses!$B$20,Hypothèses!$B$21))+(1-(IF(B23=1,Hypothèses!$B$19,IF(B23=2,Hypothèses!$B$20,Hypothèses!$B$21))))*11/12)</f>
        <v/>
      </c>
      <c r="L23">
        <f>J23*IF(B23=1,Hypothèses!$C$19,IF(B23=2,Hypothèses!$C$20,Hypothèses!$C$21))*IF(B23=1,Hypothèses!$D$19,IF(B23=2,Hypothèses!$D$20,Hypothèses!$D$21))</f>
        <v/>
      </c>
      <c r="M23">
        <f>IF(A23=18,IF($B$2&gt;=1,Hypothèses!$B$31,0),IF(AND(OR(A23=30,A23=34),$D$2&gt;=1),Hypothèses!$B$32*MIN(1,$D$2/3),0))</f>
        <v/>
      </c>
      <c r="N23">
        <f>K23+L23+M23</f>
        <v/>
      </c>
      <c r="O23">
        <f>N23/(1+Hypothèses!$B$6)</f>
        <v/>
      </c>
      <c r="P23">
        <f>Hypothèses!$B$3*(1+Hypothèses!$B$4)^INT((A23-1)/3)</f>
        <v/>
      </c>
      <c r="Q23">
        <f>IF($A23&gt;=13,1,0)</f>
        <v/>
      </c>
      <c r="R23">
        <f>Q23*Hypothèses!$B$16</f>
        <v/>
      </c>
      <c r="S23">
        <f>O23*Hypothèses!$B$5</f>
        <v/>
      </c>
      <c r="T23">
        <f>O23-P23-R23-S23</f>
        <v/>
      </c>
      <c r="U23">
        <f>U22+T23</f>
        <v/>
      </c>
    </row>
    <row r="24">
      <c r="A24" t="n">
        <v>21</v>
      </c>
      <c r="B24">
        <f>INT((A24-1)/12)+1</f>
        <v/>
      </c>
      <c r="C24">
        <f>ROUND(IF(MOD($A24,12)=0,F24,(IF(24=4,0,C23))*(1-$I24)+IF((IF(24=4,0,C23))*(1-$I24)&lt;F24,(F24-(IF(24=4,0,C23))*(1-$I24))*Hypothèses!$B$10,0)),1)</f>
        <v/>
      </c>
      <c r="D24">
        <f>ROUND(IF(MOD($A24,12)=0,G24,(IF(24=4,0,D23))*(1-$I24)+IF((IF(24=4,0,D23))*(1-$I24)&lt;G24,(G24-(IF(24=4,0,D23))*(1-$I24))*Hypothèses!$B$10,0)),1)</f>
        <v/>
      </c>
      <c r="E24">
        <f>ROUND(IF(MOD($A24,12)=0,H24,(IF(24=4,0,E23))*(1-$I24)+IF((IF(24=4,0,E23))*(1-$I24)&lt;H24,(H24-(IF(24=4,0,E23))*(1-$I24))*Hypothèses!$B$10,0)),1)</f>
        <v/>
      </c>
      <c r="F24">
        <f>(IF(B24=1,0,IF(B24=2,Hypothèses!$B$25,IF(B24=3,Hypothèses!$C$25,Hypothèses!$D$25)))+(IF(B24=1,Hypothèses!$B$25,IF(B24=2,Hypothèses!$C$25,IF(B24=3,Hypothèses!$D$25,Hypothèses!$D$25)))-(IF(B24=1,0,IF(B24=2,Hypothèses!$B$25,IF(B24=3,Hypothèses!$C$25,Hypothèses!$D$25)))))*((A24)-INT((A24-1)/12)*12)/12)*$B$1</f>
        <v/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/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/>
      </c>
      <c r="I24">
        <f>IF(A24&lt;Hypothèses!$B$7,0,Hypothèses!$B$8*(1-Hypothèses!$B$9)^(A24-Hypothèses!$B$7))</f>
        <v/>
      </c>
      <c r="J24">
        <f>C24+D24+E24</f>
        <v/>
      </c>
      <c r="K24">
        <f>(C24*Hypothèses!$B$11+D24*Hypothèses!$B$12+E24*Hypothèses!$B$13)*(IF(B24=1,Hypothèses!$B$19,IF(B24=2,Hypothèses!$B$20,Hypothèses!$B$21))+(1-(IF(B24=1,Hypothèses!$B$19,IF(B24=2,Hypothèses!$B$20,Hypothèses!$B$21))))*11/12)</f>
        <v/>
      </c>
      <c r="L24">
        <f>J24*IF(B24=1,Hypothèses!$C$19,IF(B24=2,Hypothèses!$C$20,Hypothèses!$C$21))*IF(B24=1,Hypothèses!$D$19,IF(B24=2,Hypothèses!$D$20,Hypothèses!$D$21))</f>
        <v/>
      </c>
      <c r="M24">
        <f>IF(A24=18,IF($B$2&gt;=1,Hypothèses!$B$31,0),IF(AND(OR(A24=30,A24=34),$D$2&gt;=1),Hypothèses!$B$32*MIN(1,$D$2/3),0))</f>
        <v/>
      </c>
      <c r="N24">
        <f>K24+L24+M24</f>
        <v/>
      </c>
      <c r="O24">
        <f>N24/(1+Hypothèses!$B$6)</f>
        <v/>
      </c>
      <c r="P24">
        <f>Hypothèses!$B$3*(1+Hypothèses!$B$4)^INT((A24-1)/3)</f>
        <v/>
      </c>
      <c r="Q24">
        <f>IF($A24&gt;=13,1,0)</f>
        <v/>
      </c>
      <c r="R24">
        <f>Q24*Hypothèses!$B$16</f>
        <v/>
      </c>
      <c r="S24">
        <f>O24*Hypothèses!$B$5</f>
        <v/>
      </c>
      <c r="T24">
        <f>O24-P24-R24-S24</f>
        <v/>
      </c>
      <c r="U24">
        <f>U23+T24</f>
        <v/>
      </c>
    </row>
    <row r="25">
      <c r="A25" t="n">
        <v>22</v>
      </c>
      <c r="B25">
        <f>INT((A25-1)/12)+1</f>
        <v/>
      </c>
      <c r="C25">
        <f>ROUND(IF(MOD($A25,12)=0,F25,(IF(25=4,0,C24))*(1-$I25)+IF((IF(25=4,0,C24))*(1-$I25)&lt;F25,(F25-(IF(25=4,0,C24))*(1-$I25))*Hypothèses!$B$10,0)),1)</f>
        <v/>
      </c>
      <c r="D25">
        <f>ROUND(IF(MOD($A25,12)=0,G25,(IF(25=4,0,D24))*(1-$I25)+IF((IF(25=4,0,D24))*(1-$I25)&lt;G25,(G25-(IF(25=4,0,D24))*(1-$I25))*Hypothèses!$B$10,0)),1)</f>
        <v/>
      </c>
      <c r="E25">
        <f>ROUND(IF(MOD($A25,12)=0,H25,(IF(25=4,0,E24))*(1-$I25)+IF((IF(25=4,0,E24))*(1-$I25)&lt;H25,(H25-(IF(25=4,0,E24))*(1-$I25))*Hypothèses!$B$10,0)),1)</f>
        <v/>
      </c>
      <c r="F25">
        <f>(IF(B25=1,0,IF(B25=2,Hypothèses!$B$25,IF(B25=3,Hypothèses!$C$25,Hypothèses!$D$25)))+(IF(B25=1,Hypothèses!$B$25,IF(B25=2,Hypothèses!$C$25,IF(B25=3,Hypothèses!$D$25,Hypothèses!$D$25)))-(IF(B25=1,0,IF(B25=2,Hypothèses!$B$25,IF(B25=3,Hypothèses!$C$25,Hypothèses!$D$25)))))*((A25)-INT((A25-1)/12)*12)/12)*$B$1</f>
        <v/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/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/>
      </c>
      <c r="I25">
        <f>IF(A25&lt;Hypothèses!$B$7,0,Hypothèses!$B$8*(1-Hypothèses!$B$9)^(A25-Hypothèses!$B$7))</f>
        <v/>
      </c>
      <c r="J25">
        <f>C25+D25+E25</f>
        <v/>
      </c>
      <c r="K25">
        <f>(C25*Hypothèses!$B$11+D25*Hypothèses!$B$12+E25*Hypothèses!$B$13)*(IF(B25=1,Hypothèses!$B$19,IF(B25=2,Hypothèses!$B$20,Hypothèses!$B$21))+(1-(IF(B25=1,Hypothèses!$B$19,IF(B25=2,Hypothèses!$B$20,Hypothèses!$B$21))))*11/12)</f>
        <v/>
      </c>
      <c r="L25">
        <f>J25*IF(B25=1,Hypothèses!$C$19,IF(B25=2,Hypothèses!$C$20,Hypothèses!$C$21))*IF(B25=1,Hypothèses!$D$19,IF(B25=2,Hypothèses!$D$20,Hypothèses!$D$21))</f>
        <v/>
      </c>
      <c r="M25">
        <f>IF(A25=18,IF($B$2&gt;=1,Hypothèses!$B$31,0),IF(AND(OR(A25=30,A25=34),$D$2&gt;=1),Hypothèses!$B$32*MIN(1,$D$2/3),0))</f>
        <v/>
      </c>
      <c r="N25">
        <f>K25+L25+M25</f>
        <v/>
      </c>
      <c r="O25">
        <f>N25/(1+Hypothèses!$B$6)</f>
        <v/>
      </c>
      <c r="P25">
        <f>Hypothèses!$B$3*(1+Hypothèses!$B$4)^INT((A25-1)/3)</f>
        <v/>
      </c>
      <c r="Q25">
        <f>IF($A25&gt;=13,1,0)</f>
        <v/>
      </c>
      <c r="R25">
        <f>Q25*Hypothèses!$B$16</f>
        <v/>
      </c>
      <c r="S25">
        <f>O25*Hypothèses!$B$5</f>
        <v/>
      </c>
      <c r="T25">
        <f>O25-P25-R25-S25</f>
        <v/>
      </c>
      <c r="U25">
        <f>U24+T25</f>
        <v/>
      </c>
    </row>
    <row r="26">
      <c r="A26" t="n">
        <v>23</v>
      </c>
      <c r="B26">
        <f>INT((A26-1)/12)+1</f>
        <v/>
      </c>
      <c r="C26">
        <f>ROUND(IF(MOD($A26,12)=0,F26,(IF(26=4,0,C25))*(1-$I26)+IF((IF(26=4,0,C25))*(1-$I26)&lt;F26,(F26-(IF(26=4,0,C25))*(1-$I26))*Hypothèses!$B$10,0)),1)</f>
        <v/>
      </c>
      <c r="D26">
        <f>ROUND(IF(MOD($A26,12)=0,G26,(IF(26=4,0,D25))*(1-$I26)+IF((IF(26=4,0,D25))*(1-$I26)&lt;G26,(G26-(IF(26=4,0,D25))*(1-$I26))*Hypothèses!$B$10,0)),1)</f>
        <v/>
      </c>
      <c r="E26">
        <f>ROUND(IF(MOD($A26,12)=0,H26,(IF(26=4,0,E25))*(1-$I26)+IF((IF(26=4,0,E25))*(1-$I26)&lt;H26,(H26-(IF(26=4,0,E25))*(1-$I26))*Hypothèses!$B$10,0)),1)</f>
        <v/>
      </c>
      <c r="F26">
        <f>(IF(B26=1,0,IF(B26=2,Hypothèses!$B$25,IF(B26=3,Hypothèses!$C$25,Hypothèses!$D$25)))+(IF(B26=1,Hypothèses!$B$25,IF(B26=2,Hypothèses!$C$25,IF(B26=3,Hypothèses!$D$25,Hypothèses!$D$25)))-(IF(B26=1,0,IF(B26=2,Hypothèses!$B$25,IF(B26=3,Hypothèses!$C$25,Hypothèses!$D$25)))))*((A26)-INT((A26-1)/12)*12)/12)*$B$1</f>
        <v/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/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/>
      </c>
      <c r="I26">
        <f>IF(A26&lt;Hypothèses!$B$7,0,Hypothèses!$B$8*(1-Hypothèses!$B$9)^(A26-Hypothèses!$B$7))</f>
        <v/>
      </c>
      <c r="J26">
        <f>C26+D26+E26</f>
        <v/>
      </c>
      <c r="K26">
        <f>(C26*Hypothèses!$B$11+D26*Hypothèses!$B$12+E26*Hypothèses!$B$13)*(IF(B26=1,Hypothèses!$B$19,IF(B26=2,Hypothèses!$B$20,Hypothèses!$B$21))+(1-(IF(B26=1,Hypothèses!$B$19,IF(B26=2,Hypothèses!$B$20,Hypothèses!$B$21))))*11/12)</f>
        <v/>
      </c>
      <c r="L26">
        <f>J26*IF(B26=1,Hypothèses!$C$19,IF(B26=2,Hypothèses!$C$20,Hypothèses!$C$21))*IF(B26=1,Hypothèses!$D$19,IF(B26=2,Hypothèses!$D$20,Hypothèses!$D$21))</f>
        <v/>
      </c>
      <c r="M26">
        <f>IF(A26=18,IF($B$2&gt;=1,Hypothèses!$B$31,0),IF(AND(OR(A26=30,A26=34),$D$2&gt;=1),Hypothèses!$B$32*MIN(1,$D$2/3),0))</f>
        <v/>
      </c>
      <c r="N26">
        <f>K26+L26+M26</f>
        <v/>
      </c>
      <c r="O26">
        <f>N26/(1+Hypothèses!$B$6)</f>
        <v/>
      </c>
      <c r="P26">
        <f>Hypothèses!$B$3*(1+Hypothèses!$B$4)^INT((A26-1)/3)</f>
        <v/>
      </c>
      <c r="Q26">
        <f>IF($A26&gt;=13,1,0)</f>
        <v/>
      </c>
      <c r="R26">
        <f>Q26*Hypothèses!$B$16</f>
        <v/>
      </c>
      <c r="S26">
        <f>O26*Hypothèses!$B$5</f>
        <v/>
      </c>
      <c r="T26">
        <f>O26-P26-R26-S26</f>
        <v/>
      </c>
      <c r="U26">
        <f>U25+T26</f>
        <v/>
      </c>
    </row>
    <row r="27">
      <c r="A27" t="n">
        <v>24</v>
      </c>
      <c r="B27">
        <f>INT((A27-1)/12)+1</f>
        <v/>
      </c>
      <c r="C27">
        <f>ROUND(IF(MOD($A27,12)=0,F27,(IF(27=4,0,C26))*(1-$I27)+IF((IF(27=4,0,C26))*(1-$I27)&lt;F27,(F27-(IF(27=4,0,C26))*(1-$I27))*Hypothèses!$B$10,0)),1)</f>
        <v/>
      </c>
      <c r="D27">
        <f>ROUND(IF(MOD($A27,12)=0,G27,(IF(27=4,0,D26))*(1-$I27)+IF((IF(27=4,0,D26))*(1-$I27)&lt;G27,(G27-(IF(27=4,0,D26))*(1-$I27))*Hypothèses!$B$10,0)),1)</f>
        <v/>
      </c>
      <c r="E27">
        <f>ROUND(IF(MOD($A27,12)=0,H27,(IF(27=4,0,E26))*(1-$I27)+IF((IF(27=4,0,E26))*(1-$I27)&lt;H27,(H27-(IF(27=4,0,E26))*(1-$I27))*Hypothèses!$B$10,0)),1)</f>
        <v/>
      </c>
      <c r="F27">
        <f>(IF(B27=1,0,IF(B27=2,Hypothèses!$B$25,IF(B27=3,Hypothèses!$C$25,Hypothèses!$D$25)))+(IF(B27=1,Hypothèses!$B$25,IF(B27=2,Hypothèses!$C$25,IF(B27=3,Hypothèses!$D$25,Hypothèses!$D$25)))-(IF(B27=1,0,IF(B27=2,Hypothèses!$B$25,IF(B27=3,Hypothèses!$C$25,Hypothèses!$D$25)))))*((A27)-INT((A27-1)/12)*12)/12)*$B$1</f>
        <v/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/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/>
      </c>
      <c r="I27">
        <f>IF(A27&lt;Hypothèses!$B$7,0,Hypothèses!$B$8*(1-Hypothèses!$B$9)^(A27-Hypothèses!$B$7))</f>
        <v/>
      </c>
      <c r="J27">
        <f>C27+D27+E27</f>
        <v/>
      </c>
      <c r="K27">
        <f>(C27*Hypothèses!$B$11+D27*Hypothèses!$B$12+E27*Hypothèses!$B$13)*(IF(B27=1,Hypothèses!$B$19,IF(B27=2,Hypothèses!$B$20,Hypothèses!$B$21))+(1-(IF(B27=1,Hypothèses!$B$19,IF(B27=2,Hypothèses!$B$20,Hypothèses!$B$21))))*11/12)</f>
        <v/>
      </c>
      <c r="L27">
        <f>J27*IF(B27=1,Hypothèses!$C$19,IF(B27=2,Hypothèses!$C$20,Hypothèses!$C$21))*IF(B27=1,Hypothèses!$D$19,IF(B27=2,Hypothèses!$D$20,Hypothèses!$D$21))</f>
        <v/>
      </c>
      <c r="M27">
        <f>IF(A27=18,IF($B$2&gt;=1,Hypothèses!$B$31,0),IF(AND(OR(A27=30,A27=34),$D$2&gt;=1),Hypothèses!$B$32*MIN(1,$D$2/3),0))</f>
        <v/>
      </c>
      <c r="N27">
        <f>K27+L27+M27</f>
        <v/>
      </c>
      <c r="O27">
        <f>N27/(1+Hypothèses!$B$6)</f>
        <v/>
      </c>
      <c r="P27">
        <f>Hypothèses!$B$3*(1+Hypothèses!$B$4)^INT((A27-1)/3)</f>
        <v/>
      </c>
      <c r="Q27">
        <f>IF($A27&gt;=13,1,0)</f>
        <v/>
      </c>
      <c r="R27">
        <f>Q27*Hypothèses!$B$16</f>
        <v/>
      </c>
      <c r="S27">
        <f>O27*Hypothèses!$B$5</f>
        <v/>
      </c>
      <c r="T27">
        <f>O27-P27-R27-S27</f>
        <v/>
      </c>
      <c r="U27">
        <f>U26+T27</f>
        <v/>
      </c>
    </row>
    <row r="28">
      <c r="A28" t="n">
        <v>25</v>
      </c>
      <c r="B28">
        <f>INT((A28-1)/12)+1</f>
        <v/>
      </c>
      <c r="C28">
        <f>ROUND(IF(MOD($A28,12)=0,F28,(IF(28=4,0,C27))*(1-$I28)+IF((IF(28=4,0,C27))*(1-$I28)&lt;F28,(F28-(IF(28=4,0,C27))*(1-$I28))*Hypothèses!$B$10,0)),1)</f>
        <v/>
      </c>
      <c r="D28">
        <f>ROUND(IF(MOD($A28,12)=0,G28,(IF(28=4,0,D27))*(1-$I28)+IF((IF(28=4,0,D27))*(1-$I28)&lt;G28,(G28-(IF(28=4,0,D27))*(1-$I28))*Hypothèses!$B$10,0)),1)</f>
        <v/>
      </c>
      <c r="E28">
        <f>ROUND(IF(MOD($A28,12)=0,H28,(IF(28=4,0,E27))*(1-$I28)+IF((IF(28=4,0,E27))*(1-$I28)&lt;H28,(H28-(IF(28=4,0,E27))*(1-$I28))*Hypothèses!$B$10,0)),1)</f>
        <v/>
      </c>
      <c r="F28">
        <f>(IF(B28=1,0,IF(B28=2,Hypothèses!$B$25,IF(B28=3,Hypothèses!$C$25,Hypothèses!$D$25)))+(IF(B28=1,Hypothèses!$B$25,IF(B28=2,Hypothèses!$C$25,IF(B28=3,Hypothèses!$D$25,Hypothèses!$D$25)))-(IF(B28=1,0,IF(B28=2,Hypothèses!$B$25,IF(B28=3,Hypothèses!$C$25,Hypothèses!$D$25)))))*((A28)-INT((A28-1)/12)*12)/12)*$B$1</f>
        <v/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/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/>
      </c>
      <c r="I28">
        <f>IF(A28&lt;Hypothèses!$B$7,0,Hypothèses!$B$8*(1-Hypothèses!$B$9)^(A28-Hypothèses!$B$7))</f>
        <v/>
      </c>
      <c r="J28">
        <f>C28+D28+E28</f>
        <v/>
      </c>
      <c r="K28">
        <f>(C28*Hypothèses!$B$11+D28*Hypothèses!$B$12+E28*Hypothèses!$B$13)*(IF(B28=1,Hypothèses!$B$19,IF(B28=2,Hypothèses!$B$20,Hypothèses!$B$21))+(1-(IF(B28=1,Hypothèses!$B$19,IF(B28=2,Hypothèses!$B$20,Hypothèses!$B$21))))*11/12)</f>
        <v/>
      </c>
      <c r="L28">
        <f>J28*IF(B28=1,Hypothèses!$C$19,IF(B28=2,Hypothèses!$C$20,Hypothèses!$C$21))*IF(B28=1,Hypothèses!$D$19,IF(B28=2,Hypothèses!$D$20,Hypothèses!$D$21))</f>
        <v/>
      </c>
      <c r="M28">
        <f>IF(A28=18,IF($B$2&gt;=1,Hypothèses!$B$31,0),IF(AND(OR(A28=30,A28=34),$D$2&gt;=1),Hypothèses!$B$32*MIN(1,$D$2/3),0))</f>
        <v/>
      </c>
      <c r="N28">
        <f>K28+L28+M28</f>
        <v/>
      </c>
      <c r="O28">
        <f>N28/(1+Hypothèses!$B$6)</f>
        <v/>
      </c>
      <c r="P28">
        <f>Hypothèses!$B$3*(1+Hypothèses!$B$4)^INT((A28-1)/3)</f>
        <v/>
      </c>
      <c r="Q28">
        <f>IF($A28&gt;=13,1,0)</f>
        <v/>
      </c>
      <c r="R28">
        <f>Q28*Hypothèses!$B$16</f>
        <v/>
      </c>
      <c r="S28">
        <f>O28*Hypothèses!$B$5</f>
        <v/>
      </c>
      <c r="T28">
        <f>O28-P28-R28-S28</f>
        <v/>
      </c>
      <c r="U28">
        <f>U27+T28</f>
        <v/>
      </c>
    </row>
    <row r="29">
      <c r="A29" t="n">
        <v>26</v>
      </c>
      <c r="B29">
        <f>INT((A29-1)/12)+1</f>
        <v/>
      </c>
      <c r="C29">
        <f>ROUND(IF(MOD($A29,12)=0,F29,(IF(29=4,0,C28))*(1-$I29)+IF((IF(29=4,0,C28))*(1-$I29)&lt;F29,(F29-(IF(29=4,0,C28))*(1-$I29))*Hypothèses!$B$10,0)),1)</f>
        <v/>
      </c>
      <c r="D29">
        <f>ROUND(IF(MOD($A29,12)=0,G29,(IF(29=4,0,D28))*(1-$I29)+IF((IF(29=4,0,D28))*(1-$I29)&lt;G29,(G29-(IF(29=4,0,D28))*(1-$I29))*Hypothèses!$B$10,0)),1)</f>
        <v/>
      </c>
      <c r="E29">
        <f>ROUND(IF(MOD($A29,12)=0,H29,(IF(29=4,0,E28))*(1-$I29)+IF((IF(29=4,0,E28))*(1-$I29)&lt;H29,(H29-(IF(29=4,0,E28))*(1-$I29))*Hypothèses!$B$10,0)),1)</f>
        <v/>
      </c>
      <c r="F29">
        <f>(IF(B29=1,0,IF(B29=2,Hypothèses!$B$25,IF(B29=3,Hypothèses!$C$25,Hypothèses!$D$25)))+(IF(B29=1,Hypothèses!$B$25,IF(B29=2,Hypothèses!$C$25,IF(B29=3,Hypothèses!$D$25,Hypothèses!$D$25)))-(IF(B29=1,0,IF(B29=2,Hypothèses!$B$25,IF(B29=3,Hypothèses!$C$25,Hypothèses!$D$25)))))*((A29)-INT((A29-1)/12)*12)/12)*$B$1</f>
        <v/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/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/>
      </c>
      <c r="I29">
        <f>IF(A29&lt;Hypothèses!$B$7,0,Hypothèses!$B$8*(1-Hypothèses!$B$9)^(A29-Hypothèses!$B$7))</f>
        <v/>
      </c>
      <c r="J29">
        <f>C29+D29+E29</f>
        <v/>
      </c>
      <c r="K29">
        <f>(C29*Hypothèses!$B$11+D29*Hypothèses!$B$12+E29*Hypothèses!$B$13)*(IF(B29=1,Hypothèses!$B$19,IF(B29=2,Hypothèses!$B$20,Hypothèses!$B$21))+(1-(IF(B29=1,Hypothèses!$B$19,IF(B29=2,Hypothèses!$B$20,Hypothèses!$B$21))))*11/12)</f>
        <v/>
      </c>
      <c r="L29">
        <f>J29*IF(B29=1,Hypothèses!$C$19,IF(B29=2,Hypothèses!$C$20,Hypothèses!$C$21))*IF(B29=1,Hypothèses!$D$19,IF(B29=2,Hypothèses!$D$20,Hypothèses!$D$21))</f>
        <v/>
      </c>
      <c r="M29">
        <f>IF(A29=18,IF($B$2&gt;=1,Hypothèses!$B$31,0),IF(AND(OR(A29=30,A29=34),$D$2&gt;=1),Hypothèses!$B$32*MIN(1,$D$2/3),0))</f>
        <v/>
      </c>
      <c r="N29">
        <f>K29+L29+M29</f>
        <v/>
      </c>
      <c r="O29">
        <f>N29/(1+Hypothèses!$B$6)</f>
        <v/>
      </c>
      <c r="P29">
        <f>Hypothèses!$B$3*(1+Hypothèses!$B$4)^INT((A29-1)/3)</f>
        <v/>
      </c>
      <c r="Q29">
        <f>IF($A29&gt;=13,1,0)</f>
        <v/>
      </c>
      <c r="R29">
        <f>Q29*Hypothèses!$B$16</f>
        <v/>
      </c>
      <c r="S29">
        <f>O29*Hypothèses!$B$5</f>
        <v/>
      </c>
      <c r="T29">
        <f>O29-P29-R29-S29</f>
        <v/>
      </c>
      <c r="U29">
        <f>U28+T29</f>
        <v/>
      </c>
    </row>
    <row r="30">
      <c r="A30" t="n">
        <v>27</v>
      </c>
      <c r="B30">
        <f>INT((A30-1)/12)+1</f>
        <v/>
      </c>
      <c r="C30">
        <f>ROUND(IF(MOD($A30,12)=0,F30,(IF(30=4,0,C29))*(1-$I30)+IF((IF(30=4,0,C29))*(1-$I30)&lt;F30,(F30-(IF(30=4,0,C29))*(1-$I30))*Hypothèses!$B$10,0)),1)</f>
        <v/>
      </c>
      <c r="D30">
        <f>ROUND(IF(MOD($A30,12)=0,G30,(IF(30=4,0,D29))*(1-$I30)+IF((IF(30=4,0,D29))*(1-$I30)&lt;G30,(G30-(IF(30=4,0,D29))*(1-$I30))*Hypothèses!$B$10,0)),1)</f>
        <v/>
      </c>
      <c r="E30">
        <f>ROUND(IF(MOD($A30,12)=0,H30,(IF(30=4,0,E29))*(1-$I30)+IF((IF(30=4,0,E29))*(1-$I30)&lt;H30,(H30-(IF(30=4,0,E29))*(1-$I30))*Hypothèses!$B$10,0)),1)</f>
        <v/>
      </c>
      <c r="F30">
        <f>(IF(B30=1,0,IF(B30=2,Hypothèses!$B$25,IF(B30=3,Hypothèses!$C$25,Hypothèses!$D$25)))+(IF(B30=1,Hypothèses!$B$25,IF(B30=2,Hypothèses!$C$25,IF(B30=3,Hypothèses!$D$25,Hypothèses!$D$25)))-(IF(B30=1,0,IF(B30=2,Hypothèses!$B$25,IF(B30=3,Hypothèses!$C$25,Hypothèses!$D$25)))))*((A30)-INT((A30-1)/12)*12)/12)*$B$1</f>
        <v/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/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/>
      </c>
      <c r="I30">
        <f>IF(A30&lt;Hypothèses!$B$7,0,Hypothèses!$B$8*(1-Hypothèses!$B$9)^(A30-Hypothèses!$B$7))</f>
        <v/>
      </c>
      <c r="J30">
        <f>C30+D30+E30</f>
        <v/>
      </c>
      <c r="K30">
        <f>(C30*Hypothèses!$B$11+D30*Hypothèses!$B$12+E30*Hypothèses!$B$13)*(IF(B30=1,Hypothèses!$B$19,IF(B30=2,Hypothèses!$B$20,Hypothèses!$B$21))+(1-(IF(B30=1,Hypothèses!$B$19,IF(B30=2,Hypothèses!$B$20,Hypothèses!$B$21))))*11/12)</f>
        <v/>
      </c>
      <c r="L30">
        <f>J30*IF(B30=1,Hypothèses!$C$19,IF(B30=2,Hypothèses!$C$20,Hypothèses!$C$21))*IF(B30=1,Hypothèses!$D$19,IF(B30=2,Hypothèses!$D$20,Hypothèses!$D$21))</f>
        <v/>
      </c>
      <c r="M30">
        <f>IF(A30=18,IF($B$2&gt;=1,Hypothèses!$B$31,0),IF(AND(OR(A30=30,A30=34),$D$2&gt;=1),Hypothèses!$B$32*MIN(1,$D$2/3),0))</f>
        <v/>
      </c>
      <c r="N30">
        <f>K30+L30+M30</f>
        <v/>
      </c>
      <c r="O30">
        <f>N30/(1+Hypothèses!$B$6)</f>
        <v/>
      </c>
      <c r="P30">
        <f>Hypothèses!$B$3*(1+Hypothèses!$B$4)^INT((A30-1)/3)</f>
        <v/>
      </c>
      <c r="Q30">
        <f>IF($A30&gt;=13,1,0)</f>
        <v/>
      </c>
      <c r="R30">
        <f>Q30*Hypothèses!$B$16</f>
        <v/>
      </c>
      <c r="S30">
        <f>O30*Hypothèses!$B$5</f>
        <v/>
      </c>
      <c r="T30">
        <f>O30-P30-R30-S30</f>
        <v/>
      </c>
      <c r="U30">
        <f>U29+T30</f>
        <v/>
      </c>
    </row>
    <row r="31">
      <c r="A31" t="n">
        <v>28</v>
      </c>
      <c r="B31">
        <f>INT((A31-1)/12)+1</f>
        <v/>
      </c>
      <c r="C31">
        <f>ROUND(IF(MOD($A31,12)=0,F31,(IF(31=4,0,C30))*(1-$I31)+IF((IF(31=4,0,C30))*(1-$I31)&lt;F31,(F31-(IF(31=4,0,C30))*(1-$I31))*Hypothèses!$B$10,0)),1)</f>
        <v/>
      </c>
      <c r="D31">
        <f>ROUND(IF(MOD($A31,12)=0,G31,(IF(31=4,0,D30))*(1-$I31)+IF((IF(31=4,0,D30))*(1-$I31)&lt;G31,(G31-(IF(31=4,0,D30))*(1-$I31))*Hypothèses!$B$10,0)),1)</f>
        <v/>
      </c>
      <c r="E31">
        <f>ROUND(IF(MOD($A31,12)=0,H31,(IF(31=4,0,E30))*(1-$I31)+IF((IF(31=4,0,E30))*(1-$I31)&lt;H31,(H31-(IF(31=4,0,E30))*(1-$I31))*Hypothèses!$B$10,0)),1)</f>
        <v/>
      </c>
      <c r="F31">
        <f>(IF(B31=1,0,IF(B31=2,Hypothèses!$B$25,IF(B31=3,Hypothèses!$C$25,Hypothèses!$D$25)))+(IF(B31=1,Hypothèses!$B$25,IF(B31=2,Hypothèses!$C$25,IF(B31=3,Hypothèses!$D$25,Hypothèses!$D$25)))-(IF(B31=1,0,IF(B31=2,Hypothèses!$B$25,IF(B31=3,Hypothèses!$C$25,Hypothèses!$D$25)))))*((A31)-INT((A31-1)/12)*12)/12)*$B$1</f>
        <v/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/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/>
      </c>
      <c r="I31">
        <f>IF(A31&lt;Hypothèses!$B$7,0,Hypothèses!$B$8*(1-Hypothèses!$B$9)^(A31-Hypothèses!$B$7))</f>
        <v/>
      </c>
      <c r="J31">
        <f>C31+D31+E31</f>
        <v/>
      </c>
      <c r="K31">
        <f>(C31*Hypothèses!$B$11+D31*Hypothèses!$B$12+E31*Hypothèses!$B$13)*(IF(B31=1,Hypothèses!$B$19,IF(B31=2,Hypothèses!$B$20,Hypothèses!$B$21))+(1-(IF(B31=1,Hypothèses!$B$19,IF(B31=2,Hypothèses!$B$20,Hypothèses!$B$21))))*11/12)</f>
        <v/>
      </c>
      <c r="L31">
        <f>J31*IF(B31=1,Hypothèses!$C$19,IF(B31=2,Hypothèses!$C$20,Hypothèses!$C$21))*IF(B31=1,Hypothèses!$D$19,IF(B31=2,Hypothèses!$D$20,Hypothèses!$D$21))</f>
        <v/>
      </c>
      <c r="M31">
        <f>IF(A31=18,IF($B$2&gt;=1,Hypothèses!$B$31,0),IF(AND(OR(A31=30,A31=34),$D$2&gt;=1),Hypothèses!$B$32*MIN(1,$D$2/3),0))</f>
        <v/>
      </c>
      <c r="N31">
        <f>K31+L31+M31</f>
        <v/>
      </c>
      <c r="O31">
        <f>N31/(1+Hypothèses!$B$6)</f>
        <v/>
      </c>
      <c r="P31">
        <f>Hypothèses!$B$3*(1+Hypothèses!$B$4)^INT((A31-1)/3)</f>
        <v/>
      </c>
      <c r="Q31">
        <f>IF($A31&gt;=13,1,0)</f>
        <v/>
      </c>
      <c r="R31">
        <f>Q31*Hypothèses!$B$16</f>
        <v/>
      </c>
      <c r="S31">
        <f>O31*Hypothèses!$B$5</f>
        <v/>
      </c>
      <c r="T31">
        <f>O31-P31-R31-S31</f>
        <v/>
      </c>
      <c r="U31">
        <f>U30+T31</f>
        <v/>
      </c>
    </row>
    <row r="32">
      <c r="A32" t="n">
        <v>29</v>
      </c>
      <c r="B32">
        <f>INT((A32-1)/12)+1</f>
        <v/>
      </c>
      <c r="C32">
        <f>ROUND(IF(MOD($A32,12)=0,F32,(IF(32=4,0,C31))*(1-$I32)+IF((IF(32=4,0,C31))*(1-$I32)&lt;F32,(F32-(IF(32=4,0,C31))*(1-$I32))*Hypothèses!$B$10,0)),1)</f>
        <v/>
      </c>
      <c r="D32">
        <f>ROUND(IF(MOD($A32,12)=0,G32,(IF(32=4,0,D31))*(1-$I32)+IF((IF(32=4,0,D31))*(1-$I32)&lt;G32,(G32-(IF(32=4,0,D31))*(1-$I32))*Hypothèses!$B$10,0)),1)</f>
        <v/>
      </c>
      <c r="E32">
        <f>ROUND(IF(MOD($A32,12)=0,H32,(IF(32=4,0,E31))*(1-$I32)+IF((IF(32=4,0,E31))*(1-$I32)&lt;H32,(H32-(IF(32=4,0,E31))*(1-$I32))*Hypothèses!$B$10,0)),1)</f>
        <v/>
      </c>
      <c r="F32">
        <f>(IF(B32=1,0,IF(B32=2,Hypothèses!$B$25,IF(B32=3,Hypothèses!$C$25,Hypothèses!$D$25)))+(IF(B32=1,Hypothèses!$B$25,IF(B32=2,Hypothèses!$C$25,IF(B32=3,Hypothèses!$D$25,Hypothèses!$D$25)))-(IF(B32=1,0,IF(B32=2,Hypothèses!$B$25,IF(B32=3,Hypothèses!$C$25,Hypothèses!$D$25)))))*((A32)-INT((A32-1)/12)*12)/12)*$B$1</f>
        <v/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/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/>
      </c>
      <c r="I32">
        <f>IF(A32&lt;Hypothèses!$B$7,0,Hypothèses!$B$8*(1-Hypothèses!$B$9)^(A32-Hypothèses!$B$7))</f>
        <v/>
      </c>
      <c r="J32">
        <f>C32+D32+E32</f>
        <v/>
      </c>
      <c r="K32">
        <f>(C32*Hypothèses!$B$11+D32*Hypothèses!$B$12+E32*Hypothèses!$B$13)*(IF(B32=1,Hypothèses!$B$19,IF(B32=2,Hypothèses!$B$20,Hypothèses!$B$21))+(1-(IF(B32=1,Hypothèses!$B$19,IF(B32=2,Hypothèses!$B$20,Hypothèses!$B$21))))*11/12)</f>
        <v/>
      </c>
      <c r="L32">
        <f>J32*IF(B32=1,Hypothèses!$C$19,IF(B32=2,Hypothèses!$C$20,Hypothèses!$C$21))*IF(B32=1,Hypothèses!$D$19,IF(B32=2,Hypothèses!$D$20,Hypothèses!$D$21))</f>
        <v/>
      </c>
      <c r="M32">
        <f>IF(A32=18,IF($B$2&gt;=1,Hypothèses!$B$31,0),IF(AND(OR(A32=30,A32=34),$D$2&gt;=1),Hypothèses!$B$32*MIN(1,$D$2/3),0))</f>
        <v/>
      </c>
      <c r="N32">
        <f>K32+L32+M32</f>
        <v/>
      </c>
      <c r="O32">
        <f>N32/(1+Hypothèses!$B$6)</f>
        <v/>
      </c>
      <c r="P32">
        <f>Hypothèses!$B$3*(1+Hypothèses!$B$4)^INT((A32-1)/3)</f>
        <v/>
      </c>
      <c r="Q32">
        <f>IF($A32&gt;=13,1,0)</f>
        <v/>
      </c>
      <c r="R32">
        <f>Q32*Hypothèses!$B$16</f>
        <v/>
      </c>
      <c r="S32">
        <f>O32*Hypothèses!$B$5</f>
        <v/>
      </c>
      <c r="T32">
        <f>O32-P32-R32-S32</f>
        <v/>
      </c>
      <c r="U32">
        <f>U31+T32</f>
        <v/>
      </c>
    </row>
    <row r="33">
      <c r="A33" t="n">
        <v>30</v>
      </c>
      <c r="B33">
        <f>INT((A33-1)/12)+1</f>
        <v/>
      </c>
      <c r="C33">
        <f>ROUND(IF(MOD($A33,12)=0,F33,(IF(33=4,0,C32))*(1-$I33)+IF((IF(33=4,0,C32))*(1-$I33)&lt;F33,(F33-(IF(33=4,0,C32))*(1-$I33))*Hypothèses!$B$10,0)),1)</f>
        <v/>
      </c>
      <c r="D33">
        <f>ROUND(IF(MOD($A33,12)=0,G33,(IF(33=4,0,D32))*(1-$I33)+IF((IF(33=4,0,D32))*(1-$I33)&lt;G33,(G33-(IF(33=4,0,D32))*(1-$I33))*Hypothèses!$B$10,0)),1)</f>
        <v/>
      </c>
      <c r="E33">
        <f>ROUND(IF(MOD($A33,12)=0,H33,(IF(33=4,0,E32))*(1-$I33)+IF((IF(33=4,0,E32))*(1-$I33)&lt;H33,(H33-(IF(33=4,0,E32))*(1-$I33))*Hypothèses!$B$10,0)),1)</f>
        <v/>
      </c>
      <c r="F33">
        <f>(IF(B33=1,0,IF(B33=2,Hypothèses!$B$25,IF(B33=3,Hypothèses!$C$25,Hypothèses!$D$25)))+(IF(B33=1,Hypothèses!$B$25,IF(B33=2,Hypothèses!$C$25,IF(B33=3,Hypothèses!$D$25,Hypothèses!$D$25)))-(IF(B33=1,0,IF(B33=2,Hypothèses!$B$25,IF(B33=3,Hypothèses!$C$25,Hypothèses!$D$25)))))*((A33)-INT((A33-1)/12)*12)/12)*$B$1</f>
        <v/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/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/>
      </c>
      <c r="I33">
        <f>IF(A33&lt;Hypothèses!$B$7,0,Hypothèses!$B$8*(1-Hypothèses!$B$9)^(A33-Hypothèses!$B$7))</f>
        <v/>
      </c>
      <c r="J33">
        <f>C33+D33+E33</f>
        <v/>
      </c>
      <c r="K33">
        <f>(C33*Hypothèses!$B$11+D33*Hypothèses!$B$12+E33*Hypothèses!$B$13)*(IF(B33=1,Hypothèses!$B$19,IF(B33=2,Hypothèses!$B$20,Hypothèses!$B$21))+(1-(IF(B33=1,Hypothèses!$B$19,IF(B33=2,Hypothèses!$B$20,Hypothèses!$B$21))))*11/12)</f>
        <v/>
      </c>
      <c r="L33">
        <f>J33*IF(B33=1,Hypothèses!$C$19,IF(B33=2,Hypothèses!$C$20,Hypothèses!$C$21))*IF(B33=1,Hypothèses!$D$19,IF(B33=2,Hypothèses!$D$20,Hypothèses!$D$21))</f>
        <v/>
      </c>
      <c r="M33">
        <f>IF(A33=18,IF($B$2&gt;=1,Hypothèses!$B$31,0),IF(AND(OR(A33=30,A33=34),$D$2&gt;=1),Hypothèses!$B$32*MIN(1,$D$2/3),0))</f>
        <v/>
      </c>
      <c r="N33">
        <f>K33+L33+M33</f>
        <v/>
      </c>
      <c r="O33">
        <f>N33/(1+Hypothèses!$B$6)</f>
        <v/>
      </c>
      <c r="P33">
        <f>Hypothèses!$B$3*(1+Hypothèses!$B$4)^INT((A33-1)/3)</f>
        <v/>
      </c>
      <c r="Q33">
        <f>IF($A33&gt;=13,1,0)</f>
        <v/>
      </c>
      <c r="R33">
        <f>Q33*Hypothèses!$B$16</f>
        <v/>
      </c>
      <c r="S33">
        <f>O33*Hypothèses!$B$5</f>
        <v/>
      </c>
      <c r="T33">
        <f>O33-P33-R33-S33</f>
        <v/>
      </c>
      <c r="U33">
        <f>U32+T33</f>
        <v/>
      </c>
    </row>
    <row r="34">
      <c r="A34" t="n">
        <v>31</v>
      </c>
      <c r="B34">
        <f>INT((A34-1)/12)+1</f>
        <v/>
      </c>
      <c r="C34">
        <f>ROUND(IF(MOD($A34,12)=0,F34,(IF(34=4,0,C33))*(1-$I34)+IF((IF(34=4,0,C33))*(1-$I34)&lt;F34,(F34-(IF(34=4,0,C33))*(1-$I34))*Hypothèses!$B$10,0)),1)</f>
        <v/>
      </c>
      <c r="D34">
        <f>ROUND(IF(MOD($A34,12)=0,G34,(IF(34=4,0,D33))*(1-$I34)+IF((IF(34=4,0,D33))*(1-$I34)&lt;G34,(G34-(IF(34=4,0,D33))*(1-$I34))*Hypothèses!$B$10,0)),1)</f>
        <v/>
      </c>
      <c r="E34">
        <f>ROUND(IF(MOD($A34,12)=0,H34,(IF(34=4,0,E33))*(1-$I34)+IF((IF(34=4,0,E33))*(1-$I34)&lt;H34,(H34-(IF(34=4,0,E33))*(1-$I34))*Hypothèses!$B$10,0)),1)</f>
        <v/>
      </c>
      <c r="F34">
        <f>(IF(B34=1,0,IF(B34=2,Hypothèses!$B$25,IF(B34=3,Hypothèses!$C$25,Hypothèses!$D$25)))+(IF(B34=1,Hypothèses!$B$25,IF(B34=2,Hypothèses!$C$25,IF(B34=3,Hypothèses!$D$25,Hypothèses!$D$25)))-(IF(B34=1,0,IF(B34=2,Hypothèses!$B$25,IF(B34=3,Hypothèses!$C$25,Hypothèses!$D$25)))))*((A34)-INT((A34-1)/12)*12)/12)*$B$1</f>
        <v/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/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/>
      </c>
      <c r="I34">
        <f>IF(A34&lt;Hypothèses!$B$7,0,Hypothèses!$B$8*(1-Hypothèses!$B$9)^(A34-Hypothèses!$B$7))</f>
        <v/>
      </c>
      <c r="J34">
        <f>C34+D34+E34</f>
        <v/>
      </c>
      <c r="K34">
        <f>(C34*Hypothèses!$B$11+D34*Hypothèses!$B$12+E34*Hypothèses!$B$13)*(IF(B34=1,Hypothèses!$B$19,IF(B34=2,Hypothèses!$B$20,Hypothèses!$B$21))+(1-(IF(B34=1,Hypothèses!$B$19,IF(B34=2,Hypothèses!$B$20,Hypothèses!$B$21))))*11/12)</f>
        <v/>
      </c>
      <c r="L34">
        <f>J34*IF(B34=1,Hypothèses!$C$19,IF(B34=2,Hypothèses!$C$20,Hypothèses!$C$21))*IF(B34=1,Hypothèses!$D$19,IF(B34=2,Hypothèses!$D$20,Hypothèses!$D$21))</f>
        <v/>
      </c>
      <c r="M34">
        <f>IF(A34=18,IF($B$2&gt;=1,Hypothèses!$B$31,0),IF(AND(OR(A34=30,A34=34),$D$2&gt;=1),Hypothèses!$B$32*MIN(1,$D$2/3),0))</f>
        <v/>
      </c>
      <c r="N34">
        <f>K34+L34+M34</f>
        <v/>
      </c>
      <c r="O34">
        <f>N34/(1+Hypothèses!$B$6)</f>
        <v/>
      </c>
      <c r="P34">
        <f>Hypothèses!$B$3*(1+Hypothèses!$B$4)^INT((A34-1)/3)</f>
        <v/>
      </c>
      <c r="Q34">
        <f>IF($A34&gt;=13,1,0)</f>
        <v/>
      </c>
      <c r="R34">
        <f>Q34*Hypothèses!$B$16</f>
        <v/>
      </c>
      <c r="S34">
        <f>O34*Hypothèses!$B$5</f>
        <v/>
      </c>
      <c r="T34">
        <f>O34-P34-R34-S34</f>
        <v/>
      </c>
      <c r="U34">
        <f>U33+T34</f>
        <v/>
      </c>
    </row>
    <row r="35">
      <c r="A35" t="n">
        <v>32</v>
      </c>
      <c r="B35">
        <f>INT((A35-1)/12)+1</f>
        <v/>
      </c>
      <c r="C35">
        <f>ROUND(IF(MOD($A35,12)=0,F35,(IF(35=4,0,C34))*(1-$I35)+IF((IF(35=4,0,C34))*(1-$I35)&lt;F35,(F35-(IF(35=4,0,C34))*(1-$I35))*Hypothèses!$B$10,0)),1)</f>
        <v/>
      </c>
      <c r="D35">
        <f>ROUND(IF(MOD($A35,12)=0,G35,(IF(35=4,0,D34))*(1-$I35)+IF((IF(35=4,0,D34))*(1-$I35)&lt;G35,(G35-(IF(35=4,0,D34))*(1-$I35))*Hypothèses!$B$10,0)),1)</f>
        <v/>
      </c>
      <c r="E35">
        <f>ROUND(IF(MOD($A35,12)=0,H35,(IF(35=4,0,E34))*(1-$I35)+IF((IF(35=4,0,E34))*(1-$I35)&lt;H35,(H35-(IF(35=4,0,E34))*(1-$I35))*Hypothèses!$B$10,0)),1)</f>
        <v/>
      </c>
      <c r="F35">
        <f>(IF(B35=1,0,IF(B35=2,Hypothèses!$B$25,IF(B35=3,Hypothèses!$C$25,Hypothèses!$D$25)))+(IF(B35=1,Hypothèses!$B$25,IF(B35=2,Hypothèses!$C$25,IF(B35=3,Hypothèses!$D$25,Hypothèses!$D$25)))-(IF(B35=1,0,IF(B35=2,Hypothèses!$B$25,IF(B35=3,Hypothèses!$C$25,Hypothèses!$D$25)))))*((A35)-INT((A35-1)/12)*12)/12)*$B$1</f>
        <v/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/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/>
      </c>
      <c r="I35">
        <f>IF(A35&lt;Hypothèses!$B$7,0,Hypothèses!$B$8*(1-Hypothèses!$B$9)^(A35-Hypothèses!$B$7))</f>
        <v/>
      </c>
      <c r="J35">
        <f>C35+D35+E35</f>
        <v/>
      </c>
      <c r="K35">
        <f>(C35*Hypothèses!$B$11+D35*Hypothèses!$B$12+E35*Hypothèses!$B$13)*(IF(B35=1,Hypothèses!$B$19,IF(B35=2,Hypothèses!$B$20,Hypothèses!$B$21))+(1-(IF(B35=1,Hypothèses!$B$19,IF(B35=2,Hypothèses!$B$20,Hypothèses!$B$21))))*11/12)</f>
        <v/>
      </c>
      <c r="L35">
        <f>J35*IF(B35=1,Hypothèses!$C$19,IF(B35=2,Hypothèses!$C$20,Hypothèses!$C$21))*IF(B35=1,Hypothèses!$D$19,IF(B35=2,Hypothèses!$D$20,Hypothèses!$D$21))</f>
        <v/>
      </c>
      <c r="M35">
        <f>IF(A35=18,IF($B$2&gt;=1,Hypothèses!$B$31,0),IF(AND(OR(A35=30,A35=34),$D$2&gt;=1),Hypothèses!$B$32*MIN(1,$D$2/3),0))</f>
        <v/>
      </c>
      <c r="N35">
        <f>K35+L35+M35</f>
        <v/>
      </c>
      <c r="O35">
        <f>N35/(1+Hypothèses!$B$6)</f>
        <v/>
      </c>
      <c r="P35">
        <f>Hypothèses!$B$3*(1+Hypothèses!$B$4)^INT((A35-1)/3)</f>
        <v/>
      </c>
      <c r="Q35">
        <f>IF($A35&gt;=13,1,0)</f>
        <v/>
      </c>
      <c r="R35">
        <f>Q35*Hypothèses!$B$16</f>
        <v/>
      </c>
      <c r="S35">
        <f>O35*Hypothèses!$B$5</f>
        <v/>
      </c>
      <c r="T35">
        <f>O35-P35-R35-S35</f>
        <v/>
      </c>
      <c r="U35">
        <f>U34+T35</f>
        <v/>
      </c>
    </row>
    <row r="36">
      <c r="A36" t="n">
        <v>33</v>
      </c>
      <c r="B36">
        <f>INT((A36-1)/12)+1</f>
        <v/>
      </c>
      <c r="C36">
        <f>ROUND(IF(MOD($A36,12)=0,F36,(IF(36=4,0,C35))*(1-$I36)+IF((IF(36=4,0,C35))*(1-$I36)&lt;F36,(F36-(IF(36=4,0,C35))*(1-$I36))*Hypothèses!$B$10,0)),1)</f>
        <v/>
      </c>
      <c r="D36">
        <f>ROUND(IF(MOD($A36,12)=0,G36,(IF(36=4,0,D35))*(1-$I36)+IF((IF(36=4,0,D35))*(1-$I36)&lt;G36,(G36-(IF(36=4,0,D35))*(1-$I36))*Hypothèses!$B$10,0)),1)</f>
        <v/>
      </c>
      <c r="E36">
        <f>ROUND(IF(MOD($A36,12)=0,H36,(IF(36=4,0,E35))*(1-$I36)+IF((IF(36=4,0,E35))*(1-$I36)&lt;H36,(H36-(IF(36=4,0,E35))*(1-$I36))*Hypothèses!$B$10,0)),1)</f>
        <v/>
      </c>
      <c r="F36">
        <f>(IF(B36=1,0,IF(B36=2,Hypothèses!$B$25,IF(B36=3,Hypothèses!$C$25,Hypothèses!$D$25)))+(IF(B36=1,Hypothèses!$B$25,IF(B36=2,Hypothèses!$C$25,IF(B36=3,Hypothèses!$D$25,Hypothèses!$D$25)))-(IF(B36=1,0,IF(B36=2,Hypothèses!$B$25,IF(B36=3,Hypothèses!$C$25,Hypothèses!$D$25)))))*((A36)-INT((A36-1)/12)*12)/12)*$B$1</f>
        <v/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/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/>
      </c>
      <c r="I36">
        <f>IF(A36&lt;Hypothèses!$B$7,0,Hypothèses!$B$8*(1-Hypothèses!$B$9)^(A36-Hypothèses!$B$7))</f>
        <v/>
      </c>
      <c r="J36">
        <f>C36+D36+E36</f>
        <v/>
      </c>
      <c r="K36">
        <f>(C36*Hypothèses!$B$11+D36*Hypothèses!$B$12+E36*Hypothèses!$B$13)*(IF(B36=1,Hypothèses!$B$19,IF(B36=2,Hypothèses!$B$20,Hypothèses!$B$21))+(1-(IF(B36=1,Hypothèses!$B$19,IF(B36=2,Hypothèses!$B$20,Hypothèses!$B$21))))*11/12)</f>
        <v/>
      </c>
      <c r="L36">
        <f>J36*IF(B36=1,Hypothèses!$C$19,IF(B36=2,Hypothèses!$C$20,Hypothèses!$C$21))*IF(B36=1,Hypothèses!$D$19,IF(B36=2,Hypothèses!$D$20,Hypothèses!$D$21))</f>
        <v/>
      </c>
      <c r="M36">
        <f>IF(A36=18,IF($B$2&gt;=1,Hypothèses!$B$31,0),IF(AND(OR(A36=30,A36=34),$D$2&gt;=1),Hypothèses!$B$32*MIN(1,$D$2/3),0))</f>
        <v/>
      </c>
      <c r="N36">
        <f>K36+L36+M36</f>
        <v/>
      </c>
      <c r="O36">
        <f>N36/(1+Hypothèses!$B$6)</f>
        <v/>
      </c>
      <c r="P36">
        <f>Hypothèses!$B$3*(1+Hypothèses!$B$4)^INT((A36-1)/3)</f>
        <v/>
      </c>
      <c r="Q36">
        <f>IF($A36&gt;=13,1,0)</f>
        <v/>
      </c>
      <c r="R36">
        <f>Q36*Hypothèses!$B$16</f>
        <v/>
      </c>
      <c r="S36">
        <f>O36*Hypothèses!$B$5</f>
        <v/>
      </c>
      <c r="T36">
        <f>O36-P36-R36-S36</f>
        <v/>
      </c>
      <c r="U36">
        <f>U35+T36</f>
        <v/>
      </c>
    </row>
    <row r="37">
      <c r="A37" t="n">
        <v>34</v>
      </c>
      <c r="B37">
        <f>INT((A37-1)/12)+1</f>
        <v/>
      </c>
      <c r="C37">
        <f>ROUND(IF(MOD($A37,12)=0,F37,(IF(37=4,0,C36))*(1-$I37)+IF((IF(37=4,0,C36))*(1-$I37)&lt;F37,(F37-(IF(37=4,0,C36))*(1-$I37))*Hypothèses!$B$10,0)),1)</f>
        <v/>
      </c>
      <c r="D37">
        <f>ROUND(IF(MOD($A37,12)=0,G37,(IF(37=4,0,D36))*(1-$I37)+IF((IF(37=4,0,D36))*(1-$I37)&lt;G37,(G37-(IF(37=4,0,D36))*(1-$I37))*Hypothèses!$B$10,0)),1)</f>
        <v/>
      </c>
      <c r="E37">
        <f>ROUND(IF(MOD($A37,12)=0,H37,(IF(37=4,0,E36))*(1-$I37)+IF((IF(37=4,0,E36))*(1-$I37)&lt;H37,(H37-(IF(37=4,0,E36))*(1-$I37))*Hypothèses!$B$10,0)),1)</f>
        <v/>
      </c>
      <c r="F37">
        <f>(IF(B37=1,0,IF(B37=2,Hypothèses!$B$25,IF(B37=3,Hypothèses!$C$25,Hypothèses!$D$25)))+(IF(B37=1,Hypothèses!$B$25,IF(B37=2,Hypothèses!$C$25,IF(B37=3,Hypothèses!$D$25,Hypothèses!$D$25)))-(IF(B37=1,0,IF(B37=2,Hypothèses!$B$25,IF(B37=3,Hypothèses!$C$25,Hypothèses!$D$25)))))*((A37)-INT((A37-1)/12)*12)/12)*$B$1</f>
        <v/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/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/>
      </c>
      <c r="I37">
        <f>IF(A37&lt;Hypothèses!$B$7,0,Hypothèses!$B$8*(1-Hypothèses!$B$9)^(A37-Hypothèses!$B$7))</f>
        <v/>
      </c>
      <c r="J37">
        <f>C37+D37+E37</f>
        <v/>
      </c>
      <c r="K37">
        <f>(C37*Hypothèses!$B$11+D37*Hypothèses!$B$12+E37*Hypothèses!$B$13)*(IF(B37=1,Hypothèses!$B$19,IF(B37=2,Hypothèses!$B$20,Hypothèses!$B$21))+(1-(IF(B37=1,Hypothèses!$B$19,IF(B37=2,Hypothèses!$B$20,Hypothèses!$B$21))))*11/12)</f>
        <v/>
      </c>
      <c r="L37">
        <f>J37*IF(B37=1,Hypothèses!$C$19,IF(B37=2,Hypothèses!$C$20,Hypothèses!$C$21))*IF(B37=1,Hypothèses!$D$19,IF(B37=2,Hypothèses!$D$20,Hypothèses!$D$21))</f>
        <v/>
      </c>
      <c r="M37">
        <f>IF(A37=18,IF($B$2&gt;=1,Hypothèses!$B$31,0),IF(AND(OR(A37=30,A37=34),$D$2&gt;=1),Hypothèses!$B$32*MIN(1,$D$2/3),0))</f>
        <v/>
      </c>
      <c r="N37">
        <f>K37+L37+M37</f>
        <v/>
      </c>
      <c r="O37">
        <f>N37/(1+Hypothèses!$B$6)</f>
        <v/>
      </c>
      <c r="P37">
        <f>Hypothèses!$B$3*(1+Hypothèses!$B$4)^INT((A37-1)/3)</f>
        <v/>
      </c>
      <c r="Q37">
        <f>IF($A37&gt;=13,1,0)</f>
        <v/>
      </c>
      <c r="R37">
        <f>Q37*Hypothèses!$B$16</f>
        <v/>
      </c>
      <c r="S37">
        <f>O37*Hypothèses!$B$5</f>
        <v/>
      </c>
      <c r="T37">
        <f>O37-P37-R37-S37</f>
        <v/>
      </c>
      <c r="U37">
        <f>U36+T37</f>
        <v/>
      </c>
    </row>
    <row r="38">
      <c r="A38" t="n">
        <v>35</v>
      </c>
      <c r="B38">
        <f>INT((A38-1)/12)+1</f>
        <v/>
      </c>
      <c r="C38">
        <f>ROUND(IF(MOD($A38,12)=0,F38,(IF(38=4,0,C37))*(1-$I38)+IF((IF(38=4,0,C37))*(1-$I38)&lt;F38,(F38-(IF(38=4,0,C37))*(1-$I38))*Hypothèses!$B$10,0)),1)</f>
        <v/>
      </c>
      <c r="D38">
        <f>ROUND(IF(MOD($A38,12)=0,G38,(IF(38=4,0,D37))*(1-$I38)+IF((IF(38=4,0,D37))*(1-$I38)&lt;G38,(G38-(IF(38=4,0,D37))*(1-$I38))*Hypothèses!$B$10,0)),1)</f>
        <v/>
      </c>
      <c r="E38">
        <f>ROUND(IF(MOD($A38,12)=0,H38,(IF(38=4,0,E37))*(1-$I38)+IF((IF(38=4,0,E37))*(1-$I38)&lt;H38,(H38-(IF(38=4,0,E37))*(1-$I38))*Hypothèses!$B$10,0)),1)</f>
        <v/>
      </c>
      <c r="F38">
        <f>(IF(B38=1,0,IF(B38=2,Hypothèses!$B$25,IF(B38=3,Hypothèses!$C$25,Hypothèses!$D$25)))+(IF(B38=1,Hypothèses!$B$25,IF(B38=2,Hypothèses!$C$25,IF(B38=3,Hypothèses!$D$25,Hypothèses!$D$25)))-(IF(B38=1,0,IF(B38=2,Hypothèses!$B$25,IF(B38=3,Hypothèses!$C$25,Hypothèses!$D$25)))))*((A38)-INT((A38-1)/12)*12)/12)*$B$1</f>
        <v/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/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/>
      </c>
      <c r="I38">
        <f>IF(A38&lt;Hypothèses!$B$7,0,Hypothèses!$B$8*(1-Hypothèses!$B$9)^(A38-Hypothèses!$B$7))</f>
        <v/>
      </c>
      <c r="J38">
        <f>C38+D38+E38</f>
        <v/>
      </c>
      <c r="K38">
        <f>(C38*Hypothèses!$B$11+D38*Hypothèses!$B$12+E38*Hypothèses!$B$13)*(IF(B38=1,Hypothèses!$B$19,IF(B38=2,Hypothèses!$B$20,Hypothèses!$B$21))+(1-(IF(B38=1,Hypothèses!$B$19,IF(B38=2,Hypothèses!$B$20,Hypothèses!$B$21))))*11/12)</f>
        <v/>
      </c>
      <c r="L38">
        <f>J38*IF(B38=1,Hypothèses!$C$19,IF(B38=2,Hypothèses!$C$20,Hypothèses!$C$21))*IF(B38=1,Hypothèses!$D$19,IF(B38=2,Hypothèses!$D$20,Hypothèses!$D$21))</f>
        <v/>
      </c>
      <c r="M38">
        <f>IF(A38=18,IF($B$2&gt;=1,Hypothèses!$B$31,0),IF(AND(OR(A38=30,A38=34),$D$2&gt;=1),Hypothèses!$B$32*MIN(1,$D$2/3),0))</f>
        <v/>
      </c>
      <c r="N38">
        <f>K38+L38+M38</f>
        <v/>
      </c>
      <c r="O38">
        <f>N38/(1+Hypothèses!$B$6)</f>
        <v/>
      </c>
      <c r="P38">
        <f>Hypothèses!$B$3*(1+Hypothèses!$B$4)^INT((A38-1)/3)</f>
        <v/>
      </c>
      <c r="Q38">
        <f>IF($A38&gt;=13,1,0)</f>
        <v/>
      </c>
      <c r="R38">
        <f>Q38*Hypothèses!$B$16</f>
        <v/>
      </c>
      <c r="S38">
        <f>O38*Hypothèses!$B$5</f>
        <v/>
      </c>
      <c r="T38">
        <f>O38-P38-R38-S38</f>
        <v/>
      </c>
      <c r="U38">
        <f>U37+T38</f>
        <v/>
      </c>
    </row>
    <row r="39">
      <c r="A39" t="n">
        <v>36</v>
      </c>
      <c r="B39">
        <f>INT((A39-1)/12)+1</f>
        <v/>
      </c>
      <c r="C39">
        <f>ROUND(IF(MOD($A39,12)=0,F39,(IF(39=4,0,C38))*(1-$I39)+IF((IF(39=4,0,C38))*(1-$I39)&lt;F39,(F39-(IF(39=4,0,C38))*(1-$I39))*Hypothèses!$B$10,0)),1)</f>
        <v/>
      </c>
      <c r="D39">
        <f>ROUND(IF(MOD($A39,12)=0,G39,(IF(39=4,0,D38))*(1-$I39)+IF((IF(39=4,0,D38))*(1-$I39)&lt;G39,(G39-(IF(39=4,0,D38))*(1-$I39))*Hypothèses!$B$10,0)),1)</f>
        <v/>
      </c>
      <c r="E39">
        <f>ROUND(IF(MOD($A39,12)=0,H39,(IF(39=4,0,E38))*(1-$I39)+IF((IF(39=4,0,E38))*(1-$I39)&lt;H39,(H39-(IF(39=4,0,E38))*(1-$I39))*Hypothèses!$B$10,0)),1)</f>
        <v/>
      </c>
      <c r="F39">
        <f>(IF(B39=1,0,IF(B39=2,Hypothèses!$B$25,IF(B39=3,Hypothèses!$C$25,Hypothèses!$D$25)))+(IF(B39=1,Hypothèses!$B$25,IF(B39=2,Hypothèses!$C$25,IF(B39=3,Hypothèses!$D$25,Hypothèses!$D$25)))-(IF(B39=1,0,IF(B39=2,Hypothèses!$B$25,IF(B39=3,Hypothèses!$C$25,Hypothèses!$D$25)))))*((A39)-INT((A39-1)/12)*12)/12)*$B$1</f>
        <v/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/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/>
      </c>
      <c r="I39">
        <f>IF(A39&lt;Hypothèses!$B$7,0,Hypothèses!$B$8*(1-Hypothèses!$B$9)^(A39-Hypothèses!$B$7))</f>
        <v/>
      </c>
      <c r="J39">
        <f>C39+D39+E39</f>
        <v/>
      </c>
      <c r="K39">
        <f>(C39*Hypothèses!$B$11+D39*Hypothèses!$B$12+E39*Hypothèses!$B$13)*(IF(B39=1,Hypothèses!$B$19,IF(B39=2,Hypothèses!$B$20,Hypothèses!$B$21))+(1-(IF(B39=1,Hypothèses!$B$19,IF(B39=2,Hypothèses!$B$20,Hypothèses!$B$21))))*11/12)</f>
        <v/>
      </c>
      <c r="L39">
        <f>J39*IF(B39=1,Hypothèses!$C$19,IF(B39=2,Hypothèses!$C$20,Hypothèses!$C$21))*IF(B39=1,Hypothèses!$D$19,IF(B39=2,Hypothèses!$D$20,Hypothèses!$D$21))</f>
        <v/>
      </c>
      <c r="M39">
        <f>IF(A39=18,IF($B$2&gt;=1,Hypothèses!$B$31,0),IF(AND(OR(A39=30,A39=34),$D$2&gt;=1),Hypothèses!$B$32*MIN(1,$D$2/3),0))</f>
        <v/>
      </c>
      <c r="N39">
        <f>K39+L39+M39</f>
        <v/>
      </c>
      <c r="O39">
        <f>N39/(1+Hypothèses!$B$6)</f>
        <v/>
      </c>
      <c r="P39">
        <f>Hypothèses!$B$3*(1+Hypothèses!$B$4)^INT((A39-1)/3)</f>
        <v/>
      </c>
      <c r="Q39">
        <f>IF($A39&gt;=13,1,0)</f>
        <v/>
      </c>
      <c r="R39">
        <f>Q39*Hypothèses!$B$16</f>
        <v/>
      </c>
      <c r="S39">
        <f>O39*Hypothèses!$B$5</f>
        <v/>
      </c>
      <c r="T39">
        <f>O39-P39-R39-S39</f>
        <v/>
      </c>
      <c r="U39">
        <f>U38+T39</f>
        <v/>
      </c>
    </row>
    <row r="41">
      <c r="A41" s="2" t="inlineStr">
        <is>
          <t>Synthèse annuelle</t>
        </is>
      </c>
    </row>
    <row r="42">
      <c r="A42" t="inlineStr">
        <is>
          <t>Année</t>
        </is>
      </c>
      <c r="B42" t="inlineStr">
        <is>
          <t>CA HT</t>
        </is>
      </c>
      <c r="C42" t="inlineStr">
        <is>
          <t>EBITDA</t>
        </is>
      </c>
      <c r="D42" t="inlineStr">
        <is>
          <t>Sous-traitance dev</t>
        </is>
      </c>
      <c r="E42" t="inlineStr">
        <is>
          <t>Trésorerie fin</t>
        </is>
      </c>
    </row>
    <row r="43">
      <c r="A43" t="inlineStr">
        <is>
          <t>A1</t>
        </is>
      </c>
      <c r="B43">
        <f>SUMIF($B$4:$B$39,1,$O$4:$O$39)</f>
        <v/>
      </c>
      <c r="C43">
        <f>SUMIF($B$4:$B$39,1,$T$4:$T$39)</f>
        <v/>
      </c>
      <c r="D43">
        <f>SUMIF($B$4:$B$39,1,$R$4:$R$39)</f>
        <v/>
      </c>
      <c r="E43">
        <f>U15</f>
        <v/>
      </c>
    </row>
    <row r="44">
      <c r="A44" t="inlineStr">
        <is>
          <t>A2</t>
        </is>
      </c>
      <c r="B44">
        <f>SUMIF($B$4:$B$39,2,$O$4:$O$39)</f>
        <v/>
      </c>
      <c r="C44">
        <f>SUMIF($B$4:$B$39,2,$T$4:$T$39)</f>
        <v/>
      </c>
      <c r="D44">
        <f>SUMIF($B$4:$B$39,2,$R$4:$R$39)</f>
        <v/>
      </c>
      <c r="E44">
        <f>U27</f>
        <v/>
      </c>
    </row>
    <row r="45">
      <c r="A45" t="inlineStr">
        <is>
          <t>A3</t>
        </is>
      </c>
      <c r="B45">
        <f>SUMIF($B$4:$B$39,3,$O$4:$O$39)</f>
        <v/>
      </c>
      <c r="C45">
        <f>SUMIF($B$4:$B$39,3,$T$4:$T$39)</f>
        <v/>
      </c>
      <c r="D45">
        <f>SUMIF($B$4:$B$39,3,$R$4:$R$39)</f>
        <v/>
      </c>
      <c r="E45">
        <f>U39</f>
        <v/>
      </c>
    </row>
    <row r="47">
      <c r="A47" s="3" t="inlineStr">
        <is>
          <t>Effectifs fin A3 (cible × facteur)</t>
        </is>
      </c>
    </row>
    <row r="48">
      <c r="A48">
        <f>ROUND(Hypothèses!$D$25*$B$1,0)&amp;" Atelier · "&amp;ROUND(Hypothèses!$D$26*$B$1,0)&amp;" Horizon · "&amp;ROUND(Hypothèses!$D$27*$B$1,0)&amp;" Rayonn."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t="inlineStr">
        <is>
          <t>Facteur clients (scénario)</t>
        </is>
      </c>
      <c r="B1" t="n">
        <v>1.3</v>
      </c>
    </row>
    <row r="2">
      <c r="A2" t="inlineStr">
        <is>
          <t>Zénith fin A2 (cible)</t>
        </is>
      </c>
      <c r="B2">
        <f>ROUND(Hypothèses!$C$28*$B$1,0)</f>
        <v/>
      </c>
      <c r="C2" t="inlineStr">
        <is>
          <t>Zénith fin A3 (cible)</t>
        </is>
      </c>
      <c r="D2">
        <f>ROUND(Hypothèses!$D$28*$B$1,0)</f>
        <v/>
      </c>
    </row>
    <row r="3">
      <c r="A3" s="1" t="inlineStr">
        <is>
          <t>Mois</t>
        </is>
      </c>
      <c r="B3" s="1" t="inlineStr">
        <is>
          <t>Année</t>
        </is>
      </c>
      <c r="C3" s="1" t="inlineStr">
        <is>
          <t>Atelier</t>
        </is>
      </c>
      <c r="D3" s="1" t="inlineStr">
        <is>
          <t>Horizon</t>
        </is>
      </c>
      <c r="E3" s="1" t="inlineStr">
        <is>
          <t>Rayonnement</t>
        </is>
      </c>
      <c r="F3" s="1" t="inlineStr">
        <is>
          <t>Cible Atelier</t>
        </is>
      </c>
      <c r="G3" s="1" t="inlineStr">
        <is>
          <t>Cible Horizon</t>
        </is>
      </c>
      <c r="H3" s="1" t="inlineStr">
        <is>
          <t>Cible Rayonn.</t>
        </is>
      </c>
      <c r="I3" s="1" t="inlineStr">
        <is>
          <t>Taux churn</t>
        </is>
      </c>
      <c r="J3" s="1" t="inlineStr">
        <is>
          <t>Clients payants</t>
        </is>
      </c>
      <c r="K3" s="1" t="inlineStr">
        <is>
          <t>MRR abo TTC</t>
        </is>
      </c>
      <c r="L3" s="1" t="inlineStr">
        <is>
          <t>Options TTC</t>
        </is>
      </c>
      <c r="M3" s="1" t="inlineStr">
        <is>
          <t>Zénith TTC</t>
        </is>
      </c>
      <c r="N3" s="1" t="inlineStr">
        <is>
          <t>CA TTC</t>
        </is>
      </c>
      <c r="O3" s="1" t="inlineStr">
        <is>
          <t>CA HT</t>
        </is>
      </c>
      <c r="P3" s="1" t="inlineStr">
        <is>
          <t>Frais fixes infra</t>
        </is>
      </c>
      <c r="Q3" s="1" t="inlineStr">
        <is>
          <t>Nb développeurs</t>
        </is>
      </c>
      <c r="R3" s="1" t="inlineStr">
        <is>
          <t>Sous-traitance dev (HT)</t>
        </is>
      </c>
      <c r="S3" s="1" t="inlineStr">
        <is>
          <t>Frais variables 1%</t>
        </is>
      </c>
      <c r="T3" s="1" t="inlineStr">
        <is>
          <t>EBITDA</t>
        </is>
      </c>
      <c r="U3" s="1" t="inlineStr">
        <is>
          <t>Trésorerie</t>
        </is>
      </c>
    </row>
    <row r="4">
      <c r="A4" t="n">
        <v>1</v>
      </c>
      <c r="B4">
        <f>INT((A4-1)/12)+1</f>
        <v/>
      </c>
      <c r="C4">
        <f>ROUND(IF(MOD($A4,12)=0,F4,(IF(4=4,0,C3))*(1-$I4)+IF((IF(4=4,0,C3))*(1-$I4)&lt;F4,(F4-(IF(4=4,0,C3))*(1-$I4))*Hypothèses!$B$10,0)),1)</f>
        <v/>
      </c>
      <c r="D4">
        <f>ROUND(IF(MOD($A4,12)=0,G4,(IF(4=4,0,D3))*(1-$I4)+IF((IF(4=4,0,D3))*(1-$I4)&lt;G4,(G4-(IF(4=4,0,D3))*(1-$I4))*Hypothèses!$B$10,0)),1)</f>
        <v/>
      </c>
      <c r="E4">
        <f>ROUND(IF(MOD($A4,12)=0,H4,(IF(4=4,0,E3))*(1-$I4)+IF((IF(4=4,0,E3))*(1-$I4)&lt;H4,(H4-(IF(4=4,0,E3))*(1-$I4))*Hypothèses!$B$10,0)),1)</f>
        <v/>
      </c>
      <c r="F4">
        <f>(IF(B4=1,0,IF(B4=2,Hypothèses!$B$25,IF(B4=3,Hypothèses!$C$25,Hypothèses!$D$25)))+(IF(B4=1,Hypothèses!$B$25,IF(B4=2,Hypothèses!$C$25,IF(B4=3,Hypothèses!$D$25,Hypothèses!$D$25)))-(IF(B4=1,0,IF(B4=2,Hypothèses!$B$25,IF(B4=3,Hypothèses!$C$25,Hypothèses!$D$25)))))*((A4)-INT((A4-1)/12)*12)/12)*$B$1</f>
        <v/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/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/>
      </c>
      <c r="I4">
        <f>IF(A4&lt;Hypothèses!$B$7,0,Hypothèses!$B$8*(1-Hypothèses!$B$9)^(A4-Hypothèses!$B$7))</f>
        <v/>
      </c>
      <c r="J4">
        <f>C4+D4+E4</f>
        <v/>
      </c>
      <c r="K4">
        <f>(C4*Hypothèses!$B$11+D4*Hypothèses!$B$12+E4*Hypothèses!$B$13)*(IF(B4=1,Hypothèses!$B$19,IF(B4=2,Hypothèses!$B$20,Hypothèses!$B$21))+(1-(IF(B4=1,Hypothèses!$B$19,IF(B4=2,Hypothèses!$B$20,Hypothèses!$B$21))))*11/12)</f>
        <v/>
      </c>
      <c r="L4">
        <f>J4*IF(B4=1,Hypothèses!$C$19,IF(B4=2,Hypothèses!$C$20,Hypothèses!$C$21))*IF(B4=1,Hypothèses!$D$19,IF(B4=2,Hypothèses!$D$20,Hypothèses!$D$21))</f>
        <v/>
      </c>
      <c r="M4">
        <f>IF(A4=18,IF($B$2&gt;=1,Hypothèses!$B$31,0),IF(AND(OR(A4=30,A4=34),$D$2&gt;=1),Hypothèses!$B$32*MIN(1,$D$2/3),0))</f>
        <v/>
      </c>
      <c r="N4">
        <f>K4+L4+M4</f>
        <v/>
      </c>
      <c r="O4">
        <f>N4/(1+Hypothèses!$B$6)</f>
        <v/>
      </c>
      <c r="P4">
        <f>Hypothèses!$B$3*(1+Hypothèses!$B$4)^INT((A4-1)/3)</f>
        <v/>
      </c>
      <c r="Q4">
        <f>IF($A4&lt;7,2,IF($A4&lt;13,3,IF($A4&lt;19,4,5)))</f>
        <v/>
      </c>
      <c r="R4">
        <f>Q4*Hypothèses!$B$16</f>
        <v/>
      </c>
      <c r="S4">
        <f>O4*Hypothèses!$B$5</f>
        <v/>
      </c>
      <c r="T4">
        <f>O4-P4-R4-S4</f>
        <v/>
      </c>
      <c r="U4">
        <f>Hypothèses!$B$2+T4</f>
        <v/>
      </c>
    </row>
    <row r="5">
      <c r="A5" t="n">
        <v>2</v>
      </c>
      <c r="B5">
        <f>INT((A5-1)/12)+1</f>
        <v/>
      </c>
      <c r="C5">
        <f>ROUND(IF(MOD($A5,12)=0,F5,(IF(5=4,0,C4))*(1-$I5)+IF((IF(5=4,0,C4))*(1-$I5)&lt;F5,(F5-(IF(5=4,0,C4))*(1-$I5))*Hypothèses!$B$10,0)),1)</f>
        <v/>
      </c>
      <c r="D5">
        <f>ROUND(IF(MOD($A5,12)=0,G5,(IF(5=4,0,D4))*(1-$I5)+IF((IF(5=4,0,D4))*(1-$I5)&lt;G5,(G5-(IF(5=4,0,D4))*(1-$I5))*Hypothèses!$B$10,0)),1)</f>
        <v/>
      </c>
      <c r="E5">
        <f>ROUND(IF(MOD($A5,12)=0,H5,(IF(5=4,0,E4))*(1-$I5)+IF((IF(5=4,0,E4))*(1-$I5)&lt;H5,(H5-(IF(5=4,0,E4))*(1-$I5))*Hypothèses!$B$10,0)),1)</f>
        <v/>
      </c>
      <c r="F5">
        <f>(IF(B5=1,0,IF(B5=2,Hypothèses!$B$25,IF(B5=3,Hypothèses!$C$25,Hypothèses!$D$25)))+(IF(B5=1,Hypothèses!$B$25,IF(B5=2,Hypothèses!$C$25,IF(B5=3,Hypothèses!$D$25,Hypothèses!$D$25)))-(IF(B5=1,0,IF(B5=2,Hypothèses!$B$25,IF(B5=3,Hypothèses!$C$25,Hypothèses!$D$25)))))*((A5)-INT((A5-1)/12)*12)/12)*$B$1</f>
        <v/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/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/>
      </c>
      <c r="I5">
        <f>IF(A5&lt;Hypothèses!$B$7,0,Hypothèses!$B$8*(1-Hypothèses!$B$9)^(A5-Hypothèses!$B$7))</f>
        <v/>
      </c>
      <c r="J5">
        <f>C5+D5+E5</f>
        <v/>
      </c>
      <c r="K5">
        <f>(C5*Hypothèses!$B$11+D5*Hypothèses!$B$12+E5*Hypothèses!$B$13)*(IF(B5=1,Hypothèses!$B$19,IF(B5=2,Hypothèses!$B$20,Hypothèses!$B$21))+(1-(IF(B5=1,Hypothèses!$B$19,IF(B5=2,Hypothèses!$B$20,Hypothèses!$B$21))))*11/12)</f>
        <v/>
      </c>
      <c r="L5">
        <f>J5*IF(B5=1,Hypothèses!$C$19,IF(B5=2,Hypothèses!$C$20,Hypothèses!$C$21))*IF(B5=1,Hypothèses!$D$19,IF(B5=2,Hypothèses!$D$20,Hypothèses!$D$21))</f>
        <v/>
      </c>
      <c r="M5">
        <f>IF(A5=18,IF($B$2&gt;=1,Hypothèses!$B$31,0),IF(AND(OR(A5=30,A5=34),$D$2&gt;=1),Hypothèses!$B$32*MIN(1,$D$2/3),0))</f>
        <v/>
      </c>
      <c r="N5">
        <f>K5+L5+M5</f>
        <v/>
      </c>
      <c r="O5">
        <f>N5/(1+Hypothèses!$B$6)</f>
        <v/>
      </c>
      <c r="P5">
        <f>Hypothèses!$B$3*(1+Hypothèses!$B$4)^INT((A5-1)/3)</f>
        <v/>
      </c>
      <c r="Q5">
        <f>IF($A5&lt;7,2,IF($A5&lt;13,3,IF($A5&lt;19,4,5)))</f>
        <v/>
      </c>
      <c r="R5">
        <f>Q5*Hypothèses!$B$16</f>
        <v/>
      </c>
      <c r="S5">
        <f>O5*Hypothèses!$B$5</f>
        <v/>
      </c>
      <c r="T5">
        <f>O5-P5-R5-S5</f>
        <v/>
      </c>
      <c r="U5">
        <f>U4+T5</f>
        <v/>
      </c>
    </row>
    <row r="6">
      <c r="A6" t="n">
        <v>3</v>
      </c>
      <c r="B6">
        <f>INT((A6-1)/12)+1</f>
        <v/>
      </c>
      <c r="C6">
        <f>ROUND(IF(MOD($A6,12)=0,F6,(IF(6=4,0,C5))*(1-$I6)+IF((IF(6=4,0,C5))*(1-$I6)&lt;F6,(F6-(IF(6=4,0,C5))*(1-$I6))*Hypothèses!$B$10,0)),1)</f>
        <v/>
      </c>
      <c r="D6">
        <f>ROUND(IF(MOD($A6,12)=0,G6,(IF(6=4,0,D5))*(1-$I6)+IF((IF(6=4,0,D5))*(1-$I6)&lt;G6,(G6-(IF(6=4,0,D5))*(1-$I6))*Hypothèses!$B$10,0)),1)</f>
        <v/>
      </c>
      <c r="E6">
        <f>ROUND(IF(MOD($A6,12)=0,H6,(IF(6=4,0,E5))*(1-$I6)+IF((IF(6=4,0,E5))*(1-$I6)&lt;H6,(H6-(IF(6=4,0,E5))*(1-$I6))*Hypothèses!$B$10,0)),1)</f>
        <v/>
      </c>
      <c r="F6">
        <f>(IF(B6=1,0,IF(B6=2,Hypothèses!$B$25,IF(B6=3,Hypothèses!$C$25,Hypothèses!$D$25)))+(IF(B6=1,Hypothèses!$B$25,IF(B6=2,Hypothèses!$C$25,IF(B6=3,Hypothèses!$D$25,Hypothèses!$D$25)))-(IF(B6=1,0,IF(B6=2,Hypothèses!$B$25,IF(B6=3,Hypothèses!$C$25,Hypothèses!$D$25)))))*((A6)-INT((A6-1)/12)*12)/12)*$B$1</f>
        <v/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/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/>
      </c>
      <c r="I6">
        <f>IF(A6&lt;Hypothèses!$B$7,0,Hypothèses!$B$8*(1-Hypothèses!$B$9)^(A6-Hypothèses!$B$7))</f>
        <v/>
      </c>
      <c r="J6">
        <f>C6+D6+E6</f>
        <v/>
      </c>
      <c r="K6">
        <f>(C6*Hypothèses!$B$11+D6*Hypothèses!$B$12+E6*Hypothèses!$B$13)*(IF(B6=1,Hypothèses!$B$19,IF(B6=2,Hypothèses!$B$20,Hypothèses!$B$21))+(1-(IF(B6=1,Hypothèses!$B$19,IF(B6=2,Hypothèses!$B$20,Hypothèses!$B$21))))*11/12)</f>
        <v/>
      </c>
      <c r="L6">
        <f>J6*IF(B6=1,Hypothèses!$C$19,IF(B6=2,Hypothèses!$C$20,Hypothèses!$C$21))*IF(B6=1,Hypothèses!$D$19,IF(B6=2,Hypothèses!$D$20,Hypothèses!$D$21))</f>
        <v/>
      </c>
      <c r="M6">
        <f>IF(A6=18,IF($B$2&gt;=1,Hypothèses!$B$31,0),IF(AND(OR(A6=30,A6=34),$D$2&gt;=1),Hypothèses!$B$32*MIN(1,$D$2/3),0))</f>
        <v/>
      </c>
      <c r="N6">
        <f>K6+L6+M6</f>
        <v/>
      </c>
      <c r="O6">
        <f>N6/(1+Hypothèses!$B$6)</f>
        <v/>
      </c>
      <c r="P6">
        <f>Hypothèses!$B$3*(1+Hypothèses!$B$4)^INT((A6-1)/3)</f>
        <v/>
      </c>
      <c r="Q6">
        <f>IF($A6&lt;7,2,IF($A6&lt;13,3,IF($A6&lt;19,4,5)))</f>
        <v/>
      </c>
      <c r="R6">
        <f>Q6*Hypothèses!$B$16</f>
        <v/>
      </c>
      <c r="S6">
        <f>O6*Hypothèses!$B$5</f>
        <v/>
      </c>
      <c r="T6">
        <f>O6-P6-R6-S6</f>
        <v/>
      </c>
      <c r="U6">
        <f>U5+T6</f>
        <v/>
      </c>
    </row>
    <row r="7">
      <c r="A7" t="n">
        <v>4</v>
      </c>
      <c r="B7">
        <f>INT((A7-1)/12)+1</f>
        <v/>
      </c>
      <c r="C7">
        <f>ROUND(IF(MOD($A7,12)=0,F7,(IF(7=4,0,C6))*(1-$I7)+IF((IF(7=4,0,C6))*(1-$I7)&lt;F7,(F7-(IF(7=4,0,C6))*(1-$I7))*Hypothèses!$B$10,0)),1)</f>
        <v/>
      </c>
      <c r="D7">
        <f>ROUND(IF(MOD($A7,12)=0,G7,(IF(7=4,0,D6))*(1-$I7)+IF((IF(7=4,0,D6))*(1-$I7)&lt;G7,(G7-(IF(7=4,0,D6))*(1-$I7))*Hypothèses!$B$10,0)),1)</f>
        <v/>
      </c>
      <c r="E7">
        <f>ROUND(IF(MOD($A7,12)=0,H7,(IF(7=4,0,E6))*(1-$I7)+IF((IF(7=4,0,E6))*(1-$I7)&lt;H7,(H7-(IF(7=4,0,E6))*(1-$I7))*Hypothèses!$B$10,0)),1)</f>
        <v/>
      </c>
      <c r="F7">
        <f>(IF(B7=1,0,IF(B7=2,Hypothèses!$B$25,IF(B7=3,Hypothèses!$C$25,Hypothèses!$D$25)))+(IF(B7=1,Hypothèses!$B$25,IF(B7=2,Hypothèses!$C$25,IF(B7=3,Hypothèses!$D$25,Hypothèses!$D$25)))-(IF(B7=1,0,IF(B7=2,Hypothèses!$B$25,IF(B7=3,Hypothèses!$C$25,Hypothèses!$D$25)))))*((A7)-INT((A7-1)/12)*12)/12)*$B$1</f>
        <v/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/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/>
      </c>
      <c r="I7">
        <f>IF(A7&lt;Hypothèses!$B$7,0,Hypothèses!$B$8*(1-Hypothèses!$B$9)^(A7-Hypothèses!$B$7))</f>
        <v/>
      </c>
      <c r="J7">
        <f>C7+D7+E7</f>
        <v/>
      </c>
      <c r="K7">
        <f>(C7*Hypothèses!$B$11+D7*Hypothèses!$B$12+E7*Hypothèses!$B$13)*(IF(B7=1,Hypothèses!$B$19,IF(B7=2,Hypothèses!$B$20,Hypothèses!$B$21))+(1-(IF(B7=1,Hypothèses!$B$19,IF(B7=2,Hypothèses!$B$20,Hypothèses!$B$21))))*11/12)</f>
        <v/>
      </c>
      <c r="L7">
        <f>J7*IF(B7=1,Hypothèses!$C$19,IF(B7=2,Hypothèses!$C$20,Hypothèses!$C$21))*IF(B7=1,Hypothèses!$D$19,IF(B7=2,Hypothèses!$D$20,Hypothèses!$D$21))</f>
        <v/>
      </c>
      <c r="M7">
        <f>IF(A7=18,IF($B$2&gt;=1,Hypothèses!$B$31,0),IF(AND(OR(A7=30,A7=34),$D$2&gt;=1),Hypothèses!$B$32*MIN(1,$D$2/3),0))</f>
        <v/>
      </c>
      <c r="N7">
        <f>K7+L7+M7</f>
        <v/>
      </c>
      <c r="O7">
        <f>N7/(1+Hypothèses!$B$6)</f>
        <v/>
      </c>
      <c r="P7">
        <f>Hypothèses!$B$3*(1+Hypothèses!$B$4)^INT((A7-1)/3)</f>
        <v/>
      </c>
      <c r="Q7">
        <f>IF($A7&lt;7,2,IF($A7&lt;13,3,IF($A7&lt;19,4,5)))</f>
        <v/>
      </c>
      <c r="R7">
        <f>Q7*Hypothèses!$B$16</f>
        <v/>
      </c>
      <c r="S7">
        <f>O7*Hypothèses!$B$5</f>
        <v/>
      </c>
      <c r="T7">
        <f>O7-P7-R7-S7</f>
        <v/>
      </c>
      <c r="U7">
        <f>U6+T7</f>
        <v/>
      </c>
    </row>
    <row r="8">
      <c r="A8" t="n">
        <v>5</v>
      </c>
      <c r="B8">
        <f>INT((A8-1)/12)+1</f>
        <v/>
      </c>
      <c r="C8">
        <f>ROUND(IF(MOD($A8,12)=0,F8,(IF(8=4,0,C7))*(1-$I8)+IF((IF(8=4,0,C7))*(1-$I8)&lt;F8,(F8-(IF(8=4,0,C7))*(1-$I8))*Hypothèses!$B$10,0)),1)</f>
        <v/>
      </c>
      <c r="D8">
        <f>ROUND(IF(MOD($A8,12)=0,G8,(IF(8=4,0,D7))*(1-$I8)+IF((IF(8=4,0,D7))*(1-$I8)&lt;G8,(G8-(IF(8=4,0,D7))*(1-$I8))*Hypothèses!$B$10,0)),1)</f>
        <v/>
      </c>
      <c r="E8">
        <f>ROUND(IF(MOD($A8,12)=0,H8,(IF(8=4,0,E7))*(1-$I8)+IF((IF(8=4,0,E7))*(1-$I8)&lt;H8,(H8-(IF(8=4,0,E7))*(1-$I8))*Hypothèses!$B$10,0)),1)</f>
        <v/>
      </c>
      <c r="F8">
        <f>(IF(B8=1,0,IF(B8=2,Hypothèses!$B$25,IF(B8=3,Hypothèses!$C$25,Hypothèses!$D$25)))+(IF(B8=1,Hypothèses!$B$25,IF(B8=2,Hypothèses!$C$25,IF(B8=3,Hypothèses!$D$25,Hypothèses!$D$25)))-(IF(B8=1,0,IF(B8=2,Hypothèses!$B$25,IF(B8=3,Hypothèses!$C$25,Hypothèses!$D$25)))))*((A8)-INT((A8-1)/12)*12)/12)*$B$1</f>
        <v/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/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/>
      </c>
      <c r="I8">
        <f>IF(A8&lt;Hypothèses!$B$7,0,Hypothèses!$B$8*(1-Hypothèses!$B$9)^(A8-Hypothèses!$B$7))</f>
        <v/>
      </c>
      <c r="J8">
        <f>C8+D8+E8</f>
        <v/>
      </c>
      <c r="K8">
        <f>(C8*Hypothèses!$B$11+D8*Hypothèses!$B$12+E8*Hypothèses!$B$13)*(IF(B8=1,Hypothèses!$B$19,IF(B8=2,Hypothèses!$B$20,Hypothèses!$B$21))+(1-(IF(B8=1,Hypothèses!$B$19,IF(B8=2,Hypothèses!$B$20,Hypothèses!$B$21))))*11/12)</f>
        <v/>
      </c>
      <c r="L8">
        <f>J8*IF(B8=1,Hypothèses!$C$19,IF(B8=2,Hypothèses!$C$20,Hypothèses!$C$21))*IF(B8=1,Hypothèses!$D$19,IF(B8=2,Hypothèses!$D$20,Hypothèses!$D$21))</f>
        <v/>
      </c>
      <c r="M8">
        <f>IF(A8=18,IF($B$2&gt;=1,Hypothèses!$B$31,0),IF(AND(OR(A8=30,A8=34),$D$2&gt;=1),Hypothèses!$B$32*MIN(1,$D$2/3),0))</f>
        <v/>
      </c>
      <c r="N8">
        <f>K8+L8+M8</f>
        <v/>
      </c>
      <c r="O8">
        <f>N8/(1+Hypothèses!$B$6)</f>
        <v/>
      </c>
      <c r="P8">
        <f>Hypothèses!$B$3*(1+Hypothèses!$B$4)^INT((A8-1)/3)</f>
        <v/>
      </c>
      <c r="Q8">
        <f>IF($A8&lt;7,2,IF($A8&lt;13,3,IF($A8&lt;19,4,5)))</f>
        <v/>
      </c>
      <c r="R8">
        <f>Q8*Hypothèses!$B$16</f>
        <v/>
      </c>
      <c r="S8">
        <f>O8*Hypothèses!$B$5</f>
        <v/>
      </c>
      <c r="T8">
        <f>O8-P8-R8-S8</f>
        <v/>
      </c>
      <c r="U8">
        <f>U7+T8</f>
        <v/>
      </c>
    </row>
    <row r="9">
      <c r="A9" t="n">
        <v>6</v>
      </c>
      <c r="B9">
        <f>INT((A9-1)/12)+1</f>
        <v/>
      </c>
      <c r="C9">
        <f>ROUND(IF(MOD($A9,12)=0,F9,(IF(9=4,0,C8))*(1-$I9)+IF((IF(9=4,0,C8))*(1-$I9)&lt;F9,(F9-(IF(9=4,0,C8))*(1-$I9))*Hypothèses!$B$10,0)),1)</f>
        <v/>
      </c>
      <c r="D9">
        <f>ROUND(IF(MOD($A9,12)=0,G9,(IF(9=4,0,D8))*(1-$I9)+IF((IF(9=4,0,D8))*(1-$I9)&lt;G9,(G9-(IF(9=4,0,D8))*(1-$I9))*Hypothèses!$B$10,0)),1)</f>
        <v/>
      </c>
      <c r="E9">
        <f>ROUND(IF(MOD($A9,12)=0,H9,(IF(9=4,0,E8))*(1-$I9)+IF((IF(9=4,0,E8))*(1-$I9)&lt;H9,(H9-(IF(9=4,0,E8))*(1-$I9))*Hypothèses!$B$10,0)),1)</f>
        <v/>
      </c>
      <c r="F9">
        <f>(IF(B9=1,0,IF(B9=2,Hypothèses!$B$25,IF(B9=3,Hypothèses!$C$25,Hypothèses!$D$25)))+(IF(B9=1,Hypothèses!$B$25,IF(B9=2,Hypothèses!$C$25,IF(B9=3,Hypothèses!$D$25,Hypothèses!$D$25)))-(IF(B9=1,0,IF(B9=2,Hypothèses!$B$25,IF(B9=3,Hypothèses!$C$25,Hypothèses!$D$25)))))*((A9)-INT((A9-1)/12)*12)/12)*$B$1</f>
        <v/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/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/>
      </c>
      <c r="I9">
        <f>IF(A9&lt;Hypothèses!$B$7,0,Hypothèses!$B$8*(1-Hypothèses!$B$9)^(A9-Hypothèses!$B$7))</f>
        <v/>
      </c>
      <c r="J9">
        <f>C9+D9+E9</f>
        <v/>
      </c>
      <c r="K9">
        <f>(C9*Hypothèses!$B$11+D9*Hypothèses!$B$12+E9*Hypothèses!$B$13)*(IF(B9=1,Hypothèses!$B$19,IF(B9=2,Hypothèses!$B$20,Hypothèses!$B$21))+(1-(IF(B9=1,Hypothèses!$B$19,IF(B9=2,Hypothèses!$B$20,Hypothèses!$B$21))))*11/12)</f>
        <v/>
      </c>
      <c r="L9">
        <f>J9*IF(B9=1,Hypothèses!$C$19,IF(B9=2,Hypothèses!$C$20,Hypothèses!$C$21))*IF(B9=1,Hypothèses!$D$19,IF(B9=2,Hypothèses!$D$20,Hypothèses!$D$21))</f>
        <v/>
      </c>
      <c r="M9">
        <f>IF(A9=18,IF($B$2&gt;=1,Hypothèses!$B$31,0),IF(AND(OR(A9=30,A9=34),$D$2&gt;=1),Hypothèses!$B$32*MIN(1,$D$2/3),0))</f>
        <v/>
      </c>
      <c r="N9">
        <f>K9+L9+M9</f>
        <v/>
      </c>
      <c r="O9">
        <f>N9/(1+Hypothèses!$B$6)</f>
        <v/>
      </c>
      <c r="P9">
        <f>Hypothèses!$B$3*(1+Hypothèses!$B$4)^INT((A9-1)/3)</f>
        <v/>
      </c>
      <c r="Q9">
        <f>IF($A9&lt;7,2,IF($A9&lt;13,3,IF($A9&lt;19,4,5)))</f>
        <v/>
      </c>
      <c r="R9">
        <f>Q9*Hypothèses!$B$16</f>
        <v/>
      </c>
      <c r="S9">
        <f>O9*Hypothèses!$B$5</f>
        <v/>
      </c>
      <c r="T9">
        <f>O9-P9-R9-S9</f>
        <v/>
      </c>
      <c r="U9">
        <f>U8+T9</f>
        <v/>
      </c>
    </row>
    <row r="10">
      <c r="A10" t="n">
        <v>7</v>
      </c>
      <c r="B10">
        <f>INT((A10-1)/12)+1</f>
        <v/>
      </c>
      <c r="C10">
        <f>ROUND(IF(MOD($A10,12)=0,F10,(IF(10=4,0,C9))*(1-$I10)+IF((IF(10=4,0,C9))*(1-$I10)&lt;F10,(F10-(IF(10=4,0,C9))*(1-$I10))*Hypothèses!$B$10,0)),1)</f>
        <v/>
      </c>
      <c r="D10">
        <f>ROUND(IF(MOD($A10,12)=0,G10,(IF(10=4,0,D9))*(1-$I10)+IF((IF(10=4,0,D9))*(1-$I10)&lt;G10,(G10-(IF(10=4,0,D9))*(1-$I10))*Hypothèses!$B$10,0)),1)</f>
        <v/>
      </c>
      <c r="E10">
        <f>ROUND(IF(MOD($A10,12)=0,H10,(IF(10=4,0,E9))*(1-$I10)+IF((IF(10=4,0,E9))*(1-$I10)&lt;H10,(H10-(IF(10=4,0,E9))*(1-$I10))*Hypothèses!$B$10,0)),1)</f>
        <v/>
      </c>
      <c r="F10">
        <f>(IF(B10=1,0,IF(B10=2,Hypothèses!$B$25,IF(B10=3,Hypothèses!$C$25,Hypothèses!$D$25)))+(IF(B10=1,Hypothèses!$B$25,IF(B10=2,Hypothèses!$C$25,IF(B10=3,Hypothèses!$D$25,Hypothèses!$D$25)))-(IF(B10=1,0,IF(B10=2,Hypothèses!$B$25,IF(B10=3,Hypothèses!$C$25,Hypothèses!$D$25)))))*((A10)-INT((A10-1)/12)*12)/12)*$B$1</f>
        <v/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/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/>
      </c>
      <c r="I10">
        <f>IF(A10&lt;Hypothèses!$B$7,0,Hypothèses!$B$8*(1-Hypothèses!$B$9)^(A10-Hypothèses!$B$7))</f>
        <v/>
      </c>
      <c r="J10">
        <f>C10+D10+E10</f>
        <v/>
      </c>
      <c r="K10">
        <f>(C10*Hypothèses!$B$11+D10*Hypothèses!$B$12+E10*Hypothèses!$B$13)*(IF(B10=1,Hypothèses!$B$19,IF(B10=2,Hypothèses!$B$20,Hypothèses!$B$21))+(1-(IF(B10=1,Hypothèses!$B$19,IF(B10=2,Hypothèses!$B$20,Hypothèses!$B$21))))*11/12)</f>
        <v/>
      </c>
      <c r="L10">
        <f>J10*IF(B10=1,Hypothèses!$C$19,IF(B10=2,Hypothèses!$C$20,Hypothèses!$C$21))*IF(B10=1,Hypothèses!$D$19,IF(B10=2,Hypothèses!$D$20,Hypothèses!$D$21))</f>
        <v/>
      </c>
      <c r="M10">
        <f>IF(A10=18,IF($B$2&gt;=1,Hypothèses!$B$31,0),IF(AND(OR(A10=30,A10=34),$D$2&gt;=1),Hypothèses!$B$32*MIN(1,$D$2/3),0))</f>
        <v/>
      </c>
      <c r="N10">
        <f>K10+L10+M10</f>
        <v/>
      </c>
      <c r="O10">
        <f>N10/(1+Hypothèses!$B$6)</f>
        <v/>
      </c>
      <c r="P10">
        <f>Hypothèses!$B$3*(1+Hypothèses!$B$4)^INT((A10-1)/3)</f>
        <v/>
      </c>
      <c r="Q10">
        <f>IF($A10&lt;7,2,IF($A10&lt;13,3,IF($A10&lt;19,4,5)))</f>
        <v/>
      </c>
      <c r="R10">
        <f>Q10*Hypothèses!$B$16</f>
        <v/>
      </c>
      <c r="S10">
        <f>O10*Hypothèses!$B$5</f>
        <v/>
      </c>
      <c r="T10">
        <f>O10-P10-R10-S10</f>
        <v/>
      </c>
      <c r="U10">
        <f>U9+T10</f>
        <v/>
      </c>
    </row>
    <row r="11">
      <c r="A11" t="n">
        <v>8</v>
      </c>
      <c r="B11">
        <f>INT((A11-1)/12)+1</f>
        <v/>
      </c>
      <c r="C11">
        <f>ROUND(IF(MOD($A11,12)=0,F11,(IF(11=4,0,C10))*(1-$I11)+IF((IF(11=4,0,C10))*(1-$I11)&lt;F11,(F11-(IF(11=4,0,C10))*(1-$I11))*Hypothèses!$B$10,0)),1)</f>
        <v/>
      </c>
      <c r="D11">
        <f>ROUND(IF(MOD($A11,12)=0,G11,(IF(11=4,0,D10))*(1-$I11)+IF((IF(11=4,0,D10))*(1-$I11)&lt;G11,(G11-(IF(11=4,0,D10))*(1-$I11))*Hypothèses!$B$10,0)),1)</f>
        <v/>
      </c>
      <c r="E11">
        <f>ROUND(IF(MOD($A11,12)=0,H11,(IF(11=4,0,E10))*(1-$I11)+IF((IF(11=4,0,E10))*(1-$I11)&lt;H11,(H11-(IF(11=4,0,E10))*(1-$I11))*Hypothèses!$B$10,0)),1)</f>
        <v/>
      </c>
      <c r="F11">
        <f>(IF(B11=1,0,IF(B11=2,Hypothèses!$B$25,IF(B11=3,Hypothèses!$C$25,Hypothèses!$D$25)))+(IF(B11=1,Hypothèses!$B$25,IF(B11=2,Hypothèses!$C$25,IF(B11=3,Hypothèses!$D$25,Hypothèses!$D$25)))-(IF(B11=1,0,IF(B11=2,Hypothèses!$B$25,IF(B11=3,Hypothèses!$C$25,Hypothèses!$D$25)))))*((A11)-INT((A11-1)/12)*12)/12)*$B$1</f>
        <v/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/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/>
      </c>
      <c r="I11">
        <f>IF(A11&lt;Hypothèses!$B$7,0,Hypothèses!$B$8*(1-Hypothèses!$B$9)^(A11-Hypothèses!$B$7))</f>
        <v/>
      </c>
      <c r="J11">
        <f>C11+D11+E11</f>
        <v/>
      </c>
      <c r="K11">
        <f>(C11*Hypothèses!$B$11+D11*Hypothèses!$B$12+E11*Hypothèses!$B$13)*(IF(B11=1,Hypothèses!$B$19,IF(B11=2,Hypothèses!$B$20,Hypothèses!$B$21))+(1-(IF(B11=1,Hypothèses!$B$19,IF(B11=2,Hypothèses!$B$20,Hypothèses!$B$21))))*11/12)</f>
        <v/>
      </c>
      <c r="L11">
        <f>J11*IF(B11=1,Hypothèses!$C$19,IF(B11=2,Hypothèses!$C$20,Hypothèses!$C$21))*IF(B11=1,Hypothèses!$D$19,IF(B11=2,Hypothèses!$D$20,Hypothèses!$D$21))</f>
        <v/>
      </c>
      <c r="M11">
        <f>IF(A11=18,IF($B$2&gt;=1,Hypothèses!$B$31,0),IF(AND(OR(A11=30,A11=34),$D$2&gt;=1),Hypothèses!$B$32*MIN(1,$D$2/3),0))</f>
        <v/>
      </c>
      <c r="N11">
        <f>K11+L11+M11</f>
        <v/>
      </c>
      <c r="O11">
        <f>N11/(1+Hypothèses!$B$6)</f>
        <v/>
      </c>
      <c r="P11">
        <f>Hypothèses!$B$3*(1+Hypothèses!$B$4)^INT((A11-1)/3)</f>
        <v/>
      </c>
      <c r="Q11">
        <f>IF($A11&lt;7,2,IF($A11&lt;13,3,IF($A11&lt;19,4,5)))</f>
        <v/>
      </c>
      <c r="R11">
        <f>Q11*Hypothèses!$B$16</f>
        <v/>
      </c>
      <c r="S11">
        <f>O11*Hypothèses!$B$5</f>
        <v/>
      </c>
      <c r="T11">
        <f>O11-P11-R11-S11</f>
        <v/>
      </c>
      <c r="U11">
        <f>U10+T11</f>
        <v/>
      </c>
    </row>
    <row r="12">
      <c r="A12" t="n">
        <v>9</v>
      </c>
      <c r="B12">
        <f>INT((A12-1)/12)+1</f>
        <v/>
      </c>
      <c r="C12">
        <f>ROUND(IF(MOD($A12,12)=0,F12,(IF(12=4,0,C11))*(1-$I12)+IF((IF(12=4,0,C11))*(1-$I12)&lt;F12,(F12-(IF(12=4,0,C11))*(1-$I12))*Hypothèses!$B$10,0)),1)</f>
        <v/>
      </c>
      <c r="D12">
        <f>ROUND(IF(MOD($A12,12)=0,G12,(IF(12=4,0,D11))*(1-$I12)+IF((IF(12=4,0,D11))*(1-$I12)&lt;G12,(G12-(IF(12=4,0,D11))*(1-$I12))*Hypothèses!$B$10,0)),1)</f>
        <v/>
      </c>
      <c r="E12">
        <f>ROUND(IF(MOD($A12,12)=0,H12,(IF(12=4,0,E11))*(1-$I12)+IF((IF(12=4,0,E11))*(1-$I12)&lt;H12,(H12-(IF(12=4,0,E11))*(1-$I12))*Hypothèses!$B$10,0)),1)</f>
        <v/>
      </c>
      <c r="F12">
        <f>(IF(B12=1,0,IF(B12=2,Hypothèses!$B$25,IF(B12=3,Hypothèses!$C$25,Hypothèses!$D$25)))+(IF(B12=1,Hypothèses!$B$25,IF(B12=2,Hypothèses!$C$25,IF(B12=3,Hypothèses!$D$25,Hypothèses!$D$25)))-(IF(B12=1,0,IF(B12=2,Hypothèses!$B$25,IF(B12=3,Hypothèses!$C$25,Hypothèses!$D$25)))))*((A12)-INT((A12-1)/12)*12)/12)*$B$1</f>
        <v/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/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/>
      </c>
      <c r="I12">
        <f>IF(A12&lt;Hypothèses!$B$7,0,Hypothèses!$B$8*(1-Hypothèses!$B$9)^(A12-Hypothèses!$B$7))</f>
        <v/>
      </c>
      <c r="J12">
        <f>C12+D12+E12</f>
        <v/>
      </c>
      <c r="K12">
        <f>(C12*Hypothèses!$B$11+D12*Hypothèses!$B$12+E12*Hypothèses!$B$13)*(IF(B12=1,Hypothèses!$B$19,IF(B12=2,Hypothèses!$B$20,Hypothèses!$B$21))+(1-(IF(B12=1,Hypothèses!$B$19,IF(B12=2,Hypothèses!$B$20,Hypothèses!$B$21))))*11/12)</f>
        <v/>
      </c>
      <c r="L12">
        <f>J12*IF(B12=1,Hypothèses!$C$19,IF(B12=2,Hypothèses!$C$20,Hypothèses!$C$21))*IF(B12=1,Hypothèses!$D$19,IF(B12=2,Hypothèses!$D$20,Hypothèses!$D$21))</f>
        <v/>
      </c>
      <c r="M12">
        <f>IF(A12=18,IF($B$2&gt;=1,Hypothèses!$B$31,0),IF(AND(OR(A12=30,A12=34),$D$2&gt;=1),Hypothèses!$B$32*MIN(1,$D$2/3),0))</f>
        <v/>
      </c>
      <c r="N12">
        <f>K12+L12+M12</f>
        <v/>
      </c>
      <c r="O12">
        <f>N12/(1+Hypothèses!$B$6)</f>
        <v/>
      </c>
      <c r="P12">
        <f>Hypothèses!$B$3*(1+Hypothèses!$B$4)^INT((A12-1)/3)</f>
        <v/>
      </c>
      <c r="Q12">
        <f>IF($A12&lt;7,2,IF($A12&lt;13,3,IF($A12&lt;19,4,5)))</f>
        <v/>
      </c>
      <c r="R12">
        <f>Q12*Hypothèses!$B$16</f>
        <v/>
      </c>
      <c r="S12">
        <f>O12*Hypothèses!$B$5</f>
        <v/>
      </c>
      <c r="T12">
        <f>O12-P12-R12-S12</f>
        <v/>
      </c>
      <c r="U12">
        <f>U11+T12</f>
        <v/>
      </c>
    </row>
    <row r="13">
      <c r="A13" t="n">
        <v>10</v>
      </c>
      <c r="B13">
        <f>INT((A13-1)/12)+1</f>
        <v/>
      </c>
      <c r="C13">
        <f>ROUND(IF(MOD($A13,12)=0,F13,(IF(13=4,0,C12))*(1-$I13)+IF((IF(13=4,0,C12))*(1-$I13)&lt;F13,(F13-(IF(13=4,0,C12))*(1-$I13))*Hypothèses!$B$10,0)),1)</f>
        <v/>
      </c>
      <c r="D13">
        <f>ROUND(IF(MOD($A13,12)=0,G13,(IF(13=4,0,D12))*(1-$I13)+IF((IF(13=4,0,D12))*(1-$I13)&lt;G13,(G13-(IF(13=4,0,D12))*(1-$I13))*Hypothèses!$B$10,0)),1)</f>
        <v/>
      </c>
      <c r="E13">
        <f>ROUND(IF(MOD($A13,12)=0,H13,(IF(13=4,0,E12))*(1-$I13)+IF((IF(13=4,0,E12))*(1-$I13)&lt;H13,(H13-(IF(13=4,0,E12))*(1-$I13))*Hypothèses!$B$10,0)),1)</f>
        <v/>
      </c>
      <c r="F13">
        <f>(IF(B13=1,0,IF(B13=2,Hypothèses!$B$25,IF(B13=3,Hypothèses!$C$25,Hypothèses!$D$25)))+(IF(B13=1,Hypothèses!$B$25,IF(B13=2,Hypothèses!$C$25,IF(B13=3,Hypothèses!$D$25,Hypothèses!$D$25)))-(IF(B13=1,0,IF(B13=2,Hypothèses!$B$25,IF(B13=3,Hypothèses!$C$25,Hypothèses!$D$25)))))*((A13)-INT((A13-1)/12)*12)/12)*$B$1</f>
        <v/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/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/>
      </c>
      <c r="I13">
        <f>IF(A13&lt;Hypothèses!$B$7,0,Hypothèses!$B$8*(1-Hypothèses!$B$9)^(A13-Hypothèses!$B$7))</f>
        <v/>
      </c>
      <c r="J13">
        <f>C13+D13+E13</f>
        <v/>
      </c>
      <c r="K13">
        <f>(C13*Hypothèses!$B$11+D13*Hypothèses!$B$12+E13*Hypothèses!$B$13)*(IF(B13=1,Hypothèses!$B$19,IF(B13=2,Hypothèses!$B$20,Hypothèses!$B$21))+(1-(IF(B13=1,Hypothèses!$B$19,IF(B13=2,Hypothèses!$B$20,Hypothèses!$B$21))))*11/12)</f>
        <v/>
      </c>
      <c r="L13">
        <f>J13*IF(B13=1,Hypothèses!$C$19,IF(B13=2,Hypothèses!$C$20,Hypothèses!$C$21))*IF(B13=1,Hypothèses!$D$19,IF(B13=2,Hypothèses!$D$20,Hypothèses!$D$21))</f>
        <v/>
      </c>
      <c r="M13">
        <f>IF(A13=18,IF($B$2&gt;=1,Hypothèses!$B$31,0),IF(AND(OR(A13=30,A13=34),$D$2&gt;=1),Hypothèses!$B$32*MIN(1,$D$2/3),0))</f>
        <v/>
      </c>
      <c r="N13">
        <f>K13+L13+M13</f>
        <v/>
      </c>
      <c r="O13">
        <f>N13/(1+Hypothèses!$B$6)</f>
        <v/>
      </c>
      <c r="P13">
        <f>Hypothèses!$B$3*(1+Hypothèses!$B$4)^INT((A13-1)/3)</f>
        <v/>
      </c>
      <c r="Q13">
        <f>IF($A13&lt;7,2,IF($A13&lt;13,3,IF($A13&lt;19,4,5)))</f>
        <v/>
      </c>
      <c r="R13">
        <f>Q13*Hypothèses!$B$16</f>
        <v/>
      </c>
      <c r="S13">
        <f>O13*Hypothèses!$B$5</f>
        <v/>
      </c>
      <c r="T13">
        <f>O13-P13-R13-S13</f>
        <v/>
      </c>
      <c r="U13">
        <f>U12+T13</f>
        <v/>
      </c>
    </row>
    <row r="14">
      <c r="A14" t="n">
        <v>11</v>
      </c>
      <c r="B14">
        <f>INT((A14-1)/12)+1</f>
        <v/>
      </c>
      <c r="C14">
        <f>ROUND(IF(MOD($A14,12)=0,F14,(IF(14=4,0,C13))*(1-$I14)+IF((IF(14=4,0,C13))*(1-$I14)&lt;F14,(F14-(IF(14=4,0,C13))*(1-$I14))*Hypothèses!$B$10,0)),1)</f>
        <v/>
      </c>
      <c r="D14">
        <f>ROUND(IF(MOD($A14,12)=0,G14,(IF(14=4,0,D13))*(1-$I14)+IF((IF(14=4,0,D13))*(1-$I14)&lt;G14,(G14-(IF(14=4,0,D13))*(1-$I14))*Hypothèses!$B$10,0)),1)</f>
        <v/>
      </c>
      <c r="E14">
        <f>ROUND(IF(MOD($A14,12)=0,H14,(IF(14=4,0,E13))*(1-$I14)+IF((IF(14=4,0,E13))*(1-$I14)&lt;H14,(H14-(IF(14=4,0,E13))*(1-$I14))*Hypothèses!$B$10,0)),1)</f>
        <v/>
      </c>
      <c r="F14">
        <f>(IF(B14=1,0,IF(B14=2,Hypothèses!$B$25,IF(B14=3,Hypothèses!$C$25,Hypothèses!$D$25)))+(IF(B14=1,Hypothèses!$B$25,IF(B14=2,Hypothèses!$C$25,IF(B14=3,Hypothèses!$D$25,Hypothèses!$D$25)))-(IF(B14=1,0,IF(B14=2,Hypothèses!$B$25,IF(B14=3,Hypothèses!$C$25,Hypothèses!$D$25)))))*((A14)-INT((A14-1)/12)*12)/12)*$B$1</f>
        <v/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/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/>
      </c>
      <c r="I14">
        <f>IF(A14&lt;Hypothèses!$B$7,0,Hypothèses!$B$8*(1-Hypothèses!$B$9)^(A14-Hypothèses!$B$7))</f>
        <v/>
      </c>
      <c r="J14">
        <f>C14+D14+E14</f>
        <v/>
      </c>
      <c r="K14">
        <f>(C14*Hypothèses!$B$11+D14*Hypothèses!$B$12+E14*Hypothèses!$B$13)*(IF(B14=1,Hypothèses!$B$19,IF(B14=2,Hypothèses!$B$20,Hypothèses!$B$21))+(1-(IF(B14=1,Hypothèses!$B$19,IF(B14=2,Hypothèses!$B$20,Hypothèses!$B$21))))*11/12)</f>
        <v/>
      </c>
      <c r="L14">
        <f>J14*IF(B14=1,Hypothèses!$C$19,IF(B14=2,Hypothèses!$C$20,Hypothèses!$C$21))*IF(B14=1,Hypothèses!$D$19,IF(B14=2,Hypothèses!$D$20,Hypothèses!$D$21))</f>
        <v/>
      </c>
      <c r="M14">
        <f>IF(A14=18,IF($B$2&gt;=1,Hypothèses!$B$31,0),IF(AND(OR(A14=30,A14=34),$D$2&gt;=1),Hypothèses!$B$32*MIN(1,$D$2/3),0))</f>
        <v/>
      </c>
      <c r="N14">
        <f>K14+L14+M14</f>
        <v/>
      </c>
      <c r="O14">
        <f>N14/(1+Hypothèses!$B$6)</f>
        <v/>
      </c>
      <c r="P14">
        <f>Hypothèses!$B$3*(1+Hypothèses!$B$4)^INT((A14-1)/3)</f>
        <v/>
      </c>
      <c r="Q14">
        <f>IF($A14&lt;7,2,IF($A14&lt;13,3,IF($A14&lt;19,4,5)))</f>
        <v/>
      </c>
      <c r="R14">
        <f>Q14*Hypothèses!$B$16</f>
        <v/>
      </c>
      <c r="S14">
        <f>O14*Hypothèses!$B$5</f>
        <v/>
      </c>
      <c r="T14">
        <f>O14-P14-R14-S14</f>
        <v/>
      </c>
      <c r="U14">
        <f>U13+T14</f>
        <v/>
      </c>
    </row>
    <row r="15">
      <c r="A15" t="n">
        <v>12</v>
      </c>
      <c r="B15">
        <f>INT((A15-1)/12)+1</f>
        <v/>
      </c>
      <c r="C15">
        <f>ROUND(IF(MOD($A15,12)=0,F15,(IF(15=4,0,C14))*(1-$I15)+IF((IF(15=4,0,C14))*(1-$I15)&lt;F15,(F15-(IF(15=4,0,C14))*(1-$I15))*Hypothèses!$B$10,0)),1)</f>
        <v/>
      </c>
      <c r="D15">
        <f>ROUND(IF(MOD($A15,12)=0,G15,(IF(15=4,0,D14))*(1-$I15)+IF((IF(15=4,0,D14))*(1-$I15)&lt;G15,(G15-(IF(15=4,0,D14))*(1-$I15))*Hypothèses!$B$10,0)),1)</f>
        <v/>
      </c>
      <c r="E15">
        <f>ROUND(IF(MOD($A15,12)=0,H15,(IF(15=4,0,E14))*(1-$I15)+IF((IF(15=4,0,E14))*(1-$I15)&lt;H15,(H15-(IF(15=4,0,E14))*(1-$I15))*Hypothèses!$B$10,0)),1)</f>
        <v/>
      </c>
      <c r="F15">
        <f>(IF(B15=1,0,IF(B15=2,Hypothèses!$B$25,IF(B15=3,Hypothèses!$C$25,Hypothèses!$D$25)))+(IF(B15=1,Hypothèses!$B$25,IF(B15=2,Hypothèses!$C$25,IF(B15=3,Hypothèses!$D$25,Hypothèses!$D$25)))-(IF(B15=1,0,IF(B15=2,Hypothèses!$B$25,IF(B15=3,Hypothèses!$C$25,Hypothèses!$D$25)))))*((A15)-INT((A15-1)/12)*12)/12)*$B$1</f>
        <v/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/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/>
      </c>
      <c r="I15">
        <f>IF(A15&lt;Hypothèses!$B$7,0,Hypothèses!$B$8*(1-Hypothèses!$B$9)^(A15-Hypothèses!$B$7))</f>
        <v/>
      </c>
      <c r="J15">
        <f>C15+D15+E15</f>
        <v/>
      </c>
      <c r="K15">
        <f>(C15*Hypothèses!$B$11+D15*Hypothèses!$B$12+E15*Hypothèses!$B$13)*(IF(B15=1,Hypothèses!$B$19,IF(B15=2,Hypothèses!$B$20,Hypothèses!$B$21))+(1-(IF(B15=1,Hypothèses!$B$19,IF(B15=2,Hypothèses!$B$20,Hypothèses!$B$21))))*11/12)</f>
        <v/>
      </c>
      <c r="L15">
        <f>J15*IF(B15=1,Hypothèses!$C$19,IF(B15=2,Hypothèses!$C$20,Hypothèses!$C$21))*IF(B15=1,Hypothèses!$D$19,IF(B15=2,Hypothèses!$D$20,Hypothèses!$D$21))</f>
        <v/>
      </c>
      <c r="M15">
        <f>IF(A15=18,IF($B$2&gt;=1,Hypothèses!$B$31,0),IF(AND(OR(A15=30,A15=34),$D$2&gt;=1),Hypothèses!$B$32*MIN(1,$D$2/3),0))</f>
        <v/>
      </c>
      <c r="N15">
        <f>K15+L15+M15</f>
        <v/>
      </c>
      <c r="O15">
        <f>N15/(1+Hypothèses!$B$6)</f>
        <v/>
      </c>
      <c r="P15">
        <f>Hypothèses!$B$3*(1+Hypothèses!$B$4)^INT((A15-1)/3)</f>
        <v/>
      </c>
      <c r="Q15">
        <f>IF($A15&lt;7,2,IF($A15&lt;13,3,IF($A15&lt;19,4,5)))</f>
        <v/>
      </c>
      <c r="R15">
        <f>Q15*Hypothèses!$B$16</f>
        <v/>
      </c>
      <c r="S15">
        <f>O15*Hypothèses!$B$5</f>
        <v/>
      </c>
      <c r="T15">
        <f>O15-P15-R15-S15</f>
        <v/>
      </c>
      <c r="U15">
        <f>U14+T15</f>
        <v/>
      </c>
    </row>
    <row r="16">
      <c r="A16" t="n">
        <v>13</v>
      </c>
      <c r="B16">
        <f>INT((A16-1)/12)+1</f>
        <v/>
      </c>
      <c r="C16">
        <f>ROUND(IF(MOD($A16,12)=0,F16,(IF(16=4,0,C15))*(1-$I16)+IF((IF(16=4,0,C15))*(1-$I16)&lt;F16,(F16-(IF(16=4,0,C15))*(1-$I16))*Hypothèses!$B$10,0)),1)</f>
        <v/>
      </c>
      <c r="D16">
        <f>ROUND(IF(MOD($A16,12)=0,G16,(IF(16=4,0,D15))*(1-$I16)+IF((IF(16=4,0,D15))*(1-$I16)&lt;G16,(G16-(IF(16=4,0,D15))*(1-$I16))*Hypothèses!$B$10,0)),1)</f>
        <v/>
      </c>
      <c r="E16">
        <f>ROUND(IF(MOD($A16,12)=0,H16,(IF(16=4,0,E15))*(1-$I16)+IF((IF(16=4,0,E15))*(1-$I16)&lt;H16,(H16-(IF(16=4,0,E15))*(1-$I16))*Hypothèses!$B$10,0)),1)</f>
        <v/>
      </c>
      <c r="F16">
        <f>(IF(B16=1,0,IF(B16=2,Hypothèses!$B$25,IF(B16=3,Hypothèses!$C$25,Hypothèses!$D$25)))+(IF(B16=1,Hypothèses!$B$25,IF(B16=2,Hypothèses!$C$25,IF(B16=3,Hypothèses!$D$25,Hypothèses!$D$25)))-(IF(B16=1,0,IF(B16=2,Hypothèses!$B$25,IF(B16=3,Hypothèses!$C$25,Hypothèses!$D$25)))))*((A16)-INT((A16-1)/12)*12)/12)*$B$1</f>
        <v/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/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/>
      </c>
      <c r="I16">
        <f>IF(A16&lt;Hypothèses!$B$7,0,Hypothèses!$B$8*(1-Hypothèses!$B$9)^(A16-Hypothèses!$B$7))</f>
        <v/>
      </c>
      <c r="J16">
        <f>C16+D16+E16</f>
        <v/>
      </c>
      <c r="K16">
        <f>(C16*Hypothèses!$B$11+D16*Hypothèses!$B$12+E16*Hypothèses!$B$13)*(IF(B16=1,Hypothèses!$B$19,IF(B16=2,Hypothèses!$B$20,Hypothèses!$B$21))+(1-(IF(B16=1,Hypothèses!$B$19,IF(B16=2,Hypothèses!$B$20,Hypothèses!$B$21))))*11/12)</f>
        <v/>
      </c>
      <c r="L16">
        <f>J16*IF(B16=1,Hypothèses!$C$19,IF(B16=2,Hypothèses!$C$20,Hypothèses!$C$21))*IF(B16=1,Hypothèses!$D$19,IF(B16=2,Hypothèses!$D$20,Hypothèses!$D$21))</f>
        <v/>
      </c>
      <c r="M16">
        <f>IF(A16=18,IF($B$2&gt;=1,Hypothèses!$B$31,0),IF(AND(OR(A16=30,A16=34),$D$2&gt;=1),Hypothèses!$B$32*MIN(1,$D$2/3),0))</f>
        <v/>
      </c>
      <c r="N16">
        <f>K16+L16+M16</f>
        <v/>
      </c>
      <c r="O16">
        <f>N16/(1+Hypothèses!$B$6)</f>
        <v/>
      </c>
      <c r="P16">
        <f>Hypothèses!$B$3*(1+Hypothèses!$B$4)^INT((A16-1)/3)</f>
        <v/>
      </c>
      <c r="Q16">
        <f>IF($A16&lt;7,2,IF($A16&lt;13,3,IF($A16&lt;19,4,5)))</f>
        <v/>
      </c>
      <c r="R16">
        <f>Q16*Hypothèses!$B$16</f>
        <v/>
      </c>
      <c r="S16">
        <f>O16*Hypothèses!$B$5</f>
        <v/>
      </c>
      <c r="T16">
        <f>O16-P16-R16-S16</f>
        <v/>
      </c>
      <c r="U16">
        <f>U15+T16</f>
        <v/>
      </c>
    </row>
    <row r="17">
      <c r="A17" t="n">
        <v>14</v>
      </c>
      <c r="B17">
        <f>INT((A17-1)/12)+1</f>
        <v/>
      </c>
      <c r="C17">
        <f>ROUND(IF(MOD($A17,12)=0,F17,(IF(17=4,0,C16))*(1-$I17)+IF((IF(17=4,0,C16))*(1-$I17)&lt;F17,(F17-(IF(17=4,0,C16))*(1-$I17))*Hypothèses!$B$10,0)),1)</f>
        <v/>
      </c>
      <c r="D17">
        <f>ROUND(IF(MOD($A17,12)=0,G17,(IF(17=4,0,D16))*(1-$I17)+IF((IF(17=4,0,D16))*(1-$I17)&lt;G17,(G17-(IF(17=4,0,D16))*(1-$I17))*Hypothèses!$B$10,0)),1)</f>
        <v/>
      </c>
      <c r="E17">
        <f>ROUND(IF(MOD($A17,12)=0,H17,(IF(17=4,0,E16))*(1-$I17)+IF((IF(17=4,0,E16))*(1-$I17)&lt;H17,(H17-(IF(17=4,0,E16))*(1-$I17))*Hypothèses!$B$10,0)),1)</f>
        <v/>
      </c>
      <c r="F17">
        <f>(IF(B17=1,0,IF(B17=2,Hypothèses!$B$25,IF(B17=3,Hypothèses!$C$25,Hypothèses!$D$25)))+(IF(B17=1,Hypothèses!$B$25,IF(B17=2,Hypothèses!$C$25,IF(B17=3,Hypothèses!$D$25,Hypothèses!$D$25)))-(IF(B17=1,0,IF(B17=2,Hypothèses!$B$25,IF(B17=3,Hypothèses!$C$25,Hypothèses!$D$25)))))*((A17)-INT((A17-1)/12)*12)/12)*$B$1</f>
        <v/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/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/>
      </c>
      <c r="I17">
        <f>IF(A17&lt;Hypothèses!$B$7,0,Hypothèses!$B$8*(1-Hypothèses!$B$9)^(A17-Hypothèses!$B$7))</f>
        <v/>
      </c>
      <c r="J17">
        <f>C17+D17+E17</f>
        <v/>
      </c>
      <c r="K17">
        <f>(C17*Hypothèses!$B$11+D17*Hypothèses!$B$12+E17*Hypothèses!$B$13)*(IF(B17=1,Hypothèses!$B$19,IF(B17=2,Hypothèses!$B$20,Hypothèses!$B$21))+(1-(IF(B17=1,Hypothèses!$B$19,IF(B17=2,Hypothèses!$B$20,Hypothèses!$B$21))))*11/12)</f>
        <v/>
      </c>
      <c r="L17">
        <f>J17*IF(B17=1,Hypothèses!$C$19,IF(B17=2,Hypothèses!$C$20,Hypothèses!$C$21))*IF(B17=1,Hypothèses!$D$19,IF(B17=2,Hypothèses!$D$20,Hypothèses!$D$21))</f>
        <v/>
      </c>
      <c r="M17">
        <f>IF(A17=18,IF($B$2&gt;=1,Hypothèses!$B$31,0),IF(AND(OR(A17=30,A17=34),$D$2&gt;=1),Hypothèses!$B$32*MIN(1,$D$2/3),0))</f>
        <v/>
      </c>
      <c r="N17">
        <f>K17+L17+M17</f>
        <v/>
      </c>
      <c r="O17">
        <f>N17/(1+Hypothèses!$B$6)</f>
        <v/>
      </c>
      <c r="P17">
        <f>Hypothèses!$B$3*(1+Hypothèses!$B$4)^INT((A17-1)/3)</f>
        <v/>
      </c>
      <c r="Q17">
        <f>IF($A17&lt;7,2,IF($A17&lt;13,3,IF($A17&lt;19,4,5)))</f>
        <v/>
      </c>
      <c r="R17">
        <f>Q17*Hypothèses!$B$16</f>
        <v/>
      </c>
      <c r="S17">
        <f>O17*Hypothèses!$B$5</f>
        <v/>
      </c>
      <c r="T17">
        <f>O17-P17-R17-S17</f>
        <v/>
      </c>
      <c r="U17">
        <f>U16+T17</f>
        <v/>
      </c>
    </row>
    <row r="18">
      <c r="A18" t="n">
        <v>15</v>
      </c>
      <c r="B18">
        <f>INT((A18-1)/12)+1</f>
        <v/>
      </c>
      <c r="C18">
        <f>ROUND(IF(MOD($A18,12)=0,F18,(IF(18=4,0,C17))*(1-$I18)+IF((IF(18=4,0,C17))*(1-$I18)&lt;F18,(F18-(IF(18=4,0,C17))*(1-$I18))*Hypothèses!$B$10,0)),1)</f>
        <v/>
      </c>
      <c r="D18">
        <f>ROUND(IF(MOD($A18,12)=0,G18,(IF(18=4,0,D17))*(1-$I18)+IF((IF(18=4,0,D17))*(1-$I18)&lt;G18,(G18-(IF(18=4,0,D17))*(1-$I18))*Hypothèses!$B$10,0)),1)</f>
        <v/>
      </c>
      <c r="E18">
        <f>ROUND(IF(MOD($A18,12)=0,H18,(IF(18=4,0,E17))*(1-$I18)+IF((IF(18=4,0,E17))*(1-$I18)&lt;H18,(H18-(IF(18=4,0,E17))*(1-$I18))*Hypothèses!$B$10,0)),1)</f>
        <v/>
      </c>
      <c r="F18">
        <f>(IF(B18=1,0,IF(B18=2,Hypothèses!$B$25,IF(B18=3,Hypothèses!$C$25,Hypothèses!$D$25)))+(IF(B18=1,Hypothèses!$B$25,IF(B18=2,Hypothèses!$C$25,IF(B18=3,Hypothèses!$D$25,Hypothèses!$D$25)))-(IF(B18=1,0,IF(B18=2,Hypothèses!$B$25,IF(B18=3,Hypothèses!$C$25,Hypothèses!$D$25)))))*((A18)-INT((A18-1)/12)*12)/12)*$B$1</f>
        <v/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/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/>
      </c>
      <c r="I18">
        <f>IF(A18&lt;Hypothèses!$B$7,0,Hypothèses!$B$8*(1-Hypothèses!$B$9)^(A18-Hypothèses!$B$7))</f>
        <v/>
      </c>
      <c r="J18">
        <f>C18+D18+E18</f>
        <v/>
      </c>
      <c r="K18">
        <f>(C18*Hypothèses!$B$11+D18*Hypothèses!$B$12+E18*Hypothèses!$B$13)*(IF(B18=1,Hypothèses!$B$19,IF(B18=2,Hypothèses!$B$20,Hypothèses!$B$21))+(1-(IF(B18=1,Hypothèses!$B$19,IF(B18=2,Hypothèses!$B$20,Hypothèses!$B$21))))*11/12)</f>
        <v/>
      </c>
      <c r="L18">
        <f>J18*IF(B18=1,Hypothèses!$C$19,IF(B18=2,Hypothèses!$C$20,Hypothèses!$C$21))*IF(B18=1,Hypothèses!$D$19,IF(B18=2,Hypothèses!$D$20,Hypothèses!$D$21))</f>
        <v/>
      </c>
      <c r="M18">
        <f>IF(A18=18,IF($B$2&gt;=1,Hypothèses!$B$31,0),IF(AND(OR(A18=30,A18=34),$D$2&gt;=1),Hypothèses!$B$32*MIN(1,$D$2/3),0))</f>
        <v/>
      </c>
      <c r="N18">
        <f>K18+L18+M18</f>
        <v/>
      </c>
      <c r="O18">
        <f>N18/(1+Hypothèses!$B$6)</f>
        <v/>
      </c>
      <c r="P18">
        <f>Hypothèses!$B$3*(1+Hypothèses!$B$4)^INT((A18-1)/3)</f>
        <v/>
      </c>
      <c r="Q18">
        <f>IF($A18&lt;7,2,IF($A18&lt;13,3,IF($A18&lt;19,4,5)))</f>
        <v/>
      </c>
      <c r="R18">
        <f>Q18*Hypothèses!$B$16</f>
        <v/>
      </c>
      <c r="S18">
        <f>O18*Hypothèses!$B$5</f>
        <v/>
      </c>
      <c r="T18">
        <f>O18-P18-R18-S18</f>
        <v/>
      </c>
      <c r="U18">
        <f>U17+T18</f>
        <v/>
      </c>
    </row>
    <row r="19">
      <c r="A19" t="n">
        <v>16</v>
      </c>
      <c r="B19">
        <f>INT((A19-1)/12)+1</f>
        <v/>
      </c>
      <c r="C19">
        <f>ROUND(IF(MOD($A19,12)=0,F19,(IF(19=4,0,C18))*(1-$I19)+IF((IF(19=4,0,C18))*(1-$I19)&lt;F19,(F19-(IF(19=4,0,C18))*(1-$I19))*Hypothèses!$B$10,0)),1)</f>
        <v/>
      </c>
      <c r="D19">
        <f>ROUND(IF(MOD($A19,12)=0,G19,(IF(19=4,0,D18))*(1-$I19)+IF((IF(19=4,0,D18))*(1-$I19)&lt;G19,(G19-(IF(19=4,0,D18))*(1-$I19))*Hypothèses!$B$10,0)),1)</f>
        <v/>
      </c>
      <c r="E19">
        <f>ROUND(IF(MOD($A19,12)=0,H19,(IF(19=4,0,E18))*(1-$I19)+IF((IF(19=4,0,E18))*(1-$I19)&lt;H19,(H19-(IF(19=4,0,E18))*(1-$I19))*Hypothèses!$B$10,0)),1)</f>
        <v/>
      </c>
      <c r="F19">
        <f>(IF(B19=1,0,IF(B19=2,Hypothèses!$B$25,IF(B19=3,Hypothèses!$C$25,Hypothèses!$D$25)))+(IF(B19=1,Hypothèses!$B$25,IF(B19=2,Hypothèses!$C$25,IF(B19=3,Hypothèses!$D$25,Hypothèses!$D$25)))-(IF(B19=1,0,IF(B19=2,Hypothèses!$B$25,IF(B19=3,Hypothèses!$C$25,Hypothèses!$D$25)))))*((A19)-INT((A19-1)/12)*12)/12)*$B$1</f>
        <v/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/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/>
      </c>
      <c r="I19">
        <f>IF(A19&lt;Hypothèses!$B$7,0,Hypothèses!$B$8*(1-Hypothèses!$B$9)^(A19-Hypothèses!$B$7))</f>
        <v/>
      </c>
      <c r="J19">
        <f>C19+D19+E19</f>
        <v/>
      </c>
      <c r="K19">
        <f>(C19*Hypothèses!$B$11+D19*Hypothèses!$B$12+E19*Hypothèses!$B$13)*(IF(B19=1,Hypothèses!$B$19,IF(B19=2,Hypothèses!$B$20,Hypothèses!$B$21))+(1-(IF(B19=1,Hypothèses!$B$19,IF(B19=2,Hypothèses!$B$20,Hypothèses!$B$21))))*11/12)</f>
        <v/>
      </c>
      <c r="L19">
        <f>J19*IF(B19=1,Hypothèses!$C$19,IF(B19=2,Hypothèses!$C$20,Hypothèses!$C$21))*IF(B19=1,Hypothèses!$D$19,IF(B19=2,Hypothèses!$D$20,Hypothèses!$D$21))</f>
        <v/>
      </c>
      <c r="M19">
        <f>IF(A19=18,IF($B$2&gt;=1,Hypothèses!$B$31,0),IF(AND(OR(A19=30,A19=34),$D$2&gt;=1),Hypothèses!$B$32*MIN(1,$D$2/3),0))</f>
        <v/>
      </c>
      <c r="N19">
        <f>K19+L19+M19</f>
        <v/>
      </c>
      <c r="O19">
        <f>N19/(1+Hypothèses!$B$6)</f>
        <v/>
      </c>
      <c r="P19">
        <f>Hypothèses!$B$3*(1+Hypothèses!$B$4)^INT((A19-1)/3)</f>
        <v/>
      </c>
      <c r="Q19">
        <f>IF($A19&lt;7,2,IF($A19&lt;13,3,IF($A19&lt;19,4,5)))</f>
        <v/>
      </c>
      <c r="R19">
        <f>Q19*Hypothèses!$B$16</f>
        <v/>
      </c>
      <c r="S19">
        <f>O19*Hypothèses!$B$5</f>
        <v/>
      </c>
      <c r="T19">
        <f>O19-P19-R19-S19</f>
        <v/>
      </c>
      <c r="U19">
        <f>U18+T19</f>
        <v/>
      </c>
    </row>
    <row r="20">
      <c r="A20" t="n">
        <v>17</v>
      </c>
      <c r="B20">
        <f>INT((A20-1)/12)+1</f>
        <v/>
      </c>
      <c r="C20">
        <f>ROUND(IF(MOD($A20,12)=0,F20,(IF(20=4,0,C19))*(1-$I20)+IF((IF(20=4,0,C19))*(1-$I20)&lt;F20,(F20-(IF(20=4,0,C19))*(1-$I20))*Hypothèses!$B$10,0)),1)</f>
        <v/>
      </c>
      <c r="D20">
        <f>ROUND(IF(MOD($A20,12)=0,G20,(IF(20=4,0,D19))*(1-$I20)+IF((IF(20=4,0,D19))*(1-$I20)&lt;G20,(G20-(IF(20=4,0,D19))*(1-$I20))*Hypothèses!$B$10,0)),1)</f>
        <v/>
      </c>
      <c r="E20">
        <f>ROUND(IF(MOD($A20,12)=0,H20,(IF(20=4,0,E19))*(1-$I20)+IF((IF(20=4,0,E19))*(1-$I20)&lt;H20,(H20-(IF(20=4,0,E19))*(1-$I20))*Hypothèses!$B$10,0)),1)</f>
        <v/>
      </c>
      <c r="F20">
        <f>(IF(B20=1,0,IF(B20=2,Hypothèses!$B$25,IF(B20=3,Hypothèses!$C$25,Hypothèses!$D$25)))+(IF(B20=1,Hypothèses!$B$25,IF(B20=2,Hypothèses!$C$25,IF(B20=3,Hypothèses!$D$25,Hypothèses!$D$25)))-(IF(B20=1,0,IF(B20=2,Hypothèses!$B$25,IF(B20=3,Hypothèses!$C$25,Hypothèses!$D$25)))))*((A20)-INT((A20-1)/12)*12)/12)*$B$1</f>
        <v/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/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/>
      </c>
      <c r="I20">
        <f>IF(A20&lt;Hypothèses!$B$7,0,Hypothèses!$B$8*(1-Hypothèses!$B$9)^(A20-Hypothèses!$B$7))</f>
        <v/>
      </c>
      <c r="J20">
        <f>C20+D20+E20</f>
        <v/>
      </c>
      <c r="K20">
        <f>(C20*Hypothèses!$B$11+D20*Hypothèses!$B$12+E20*Hypothèses!$B$13)*(IF(B20=1,Hypothèses!$B$19,IF(B20=2,Hypothèses!$B$20,Hypothèses!$B$21))+(1-(IF(B20=1,Hypothèses!$B$19,IF(B20=2,Hypothèses!$B$20,Hypothèses!$B$21))))*11/12)</f>
        <v/>
      </c>
      <c r="L20">
        <f>J20*IF(B20=1,Hypothèses!$C$19,IF(B20=2,Hypothèses!$C$20,Hypothèses!$C$21))*IF(B20=1,Hypothèses!$D$19,IF(B20=2,Hypothèses!$D$20,Hypothèses!$D$21))</f>
        <v/>
      </c>
      <c r="M20">
        <f>IF(A20=18,IF($B$2&gt;=1,Hypothèses!$B$31,0),IF(AND(OR(A20=30,A20=34),$D$2&gt;=1),Hypothèses!$B$32*MIN(1,$D$2/3),0))</f>
        <v/>
      </c>
      <c r="N20">
        <f>K20+L20+M20</f>
        <v/>
      </c>
      <c r="O20">
        <f>N20/(1+Hypothèses!$B$6)</f>
        <v/>
      </c>
      <c r="P20">
        <f>Hypothèses!$B$3*(1+Hypothèses!$B$4)^INT((A20-1)/3)</f>
        <v/>
      </c>
      <c r="Q20">
        <f>IF($A20&lt;7,2,IF($A20&lt;13,3,IF($A20&lt;19,4,5)))</f>
        <v/>
      </c>
      <c r="R20">
        <f>Q20*Hypothèses!$B$16</f>
        <v/>
      </c>
      <c r="S20">
        <f>O20*Hypothèses!$B$5</f>
        <v/>
      </c>
      <c r="T20">
        <f>O20-P20-R20-S20</f>
        <v/>
      </c>
      <c r="U20">
        <f>U19+T20</f>
        <v/>
      </c>
    </row>
    <row r="21">
      <c r="A21" t="n">
        <v>18</v>
      </c>
      <c r="B21">
        <f>INT((A21-1)/12)+1</f>
        <v/>
      </c>
      <c r="C21">
        <f>ROUND(IF(MOD($A21,12)=0,F21,(IF(21=4,0,C20))*(1-$I21)+IF((IF(21=4,0,C20))*(1-$I21)&lt;F21,(F21-(IF(21=4,0,C20))*(1-$I21))*Hypothèses!$B$10,0)),1)</f>
        <v/>
      </c>
      <c r="D21">
        <f>ROUND(IF(MOD($A21,12)=0,G21,(IF(21=4,0,D20))*(1-$I21)+IF((IF(21=4,0,D20))*(1-$I21)&lt;G21,(G21-(IF(21=4,0,D20))*(1-$I21))*Hypothèses!$B$10,0)),1)</f>
        <v/>
      </c>
      <c r="E21">
        <f>ROUND(IF(MOD($A21,12)=0,H21,(IF(21=4,0,E20))*(1-$I21)+IF((IF(21=4,0,E20))*(1-$I21)&lt;H21,(H21-(IF(21=4,0,E20))*(1-$I21))*Hypothèses!$B$10,0)),1)</f>
        <v/>
      </c>
      <c r="F21">
        <f>(IF(B21=1,0,IF(B21=2,Hypothèses!$B$25,IF(B21=3,Hypothèses!$C$25,Hypothèses!$D$25)))+(IF(B21=1,Hypothèses!$B$25,IF(B21=2,Hypothèses!$C$25,IF(B21=3,Hypothèses!$D$25,Hypothèses!$D$25)))-(IF(B21=1,0,IF(B21=2,Hypothèses!$B$25,IF(B21=3,Hypothèses!$C$25,Hypothèses!$D$25)))))*((A21)-INT((A21-1)/12)*12)/12)*$B$1</f>
        <v/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/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/>
      </c>
      <c r="I21">
        <f>IF(A21&lt;Hypothèses!$B$7,0,Hypothèses!$B$8*(1-Hypothèses!$B$9)^(A21-Hypothèses!$B$7))</f>
        <v/>
      </c>
      <c r="J21">
        <f>C21+D21+E21</f>
        <v/>
      </c>
      <c r="K21">
        <f>(C21*Hypothèses!$B$11+D21*Hypothèses!$B$12+E21*Hypothèses!$B$13)*(IF(B21=1,Hypothèses!$B$19,IF(B21=2,Hypothèses!$B$20,Hypothèses!$B$21))+(1-(IF(B21=1,Hypothèses!$B$19,IF(B21=2,Hypothèses!$B$20,Hypothèses!$B$21))))*11/12)</f>
        <v/>
      </c>
      <c r="L21">
        <f>J21*IF(B21=1,Hypothèses!$C$19,IF(B21=2,Hypothèses!$C$20,Hypothèses!$C$21))*IF(B21=1,Hypothèses!$D$19,IF(B21=2,Hypothèses!$D$20,Hypothèses!$D$21))</f>
        <v/>
      </c>
      <c r="M21">
        <f>IF(A21=18,IF($B$2&gt;=1,Hypothèses!$B$31,0),IF(AND(OR(A21=30,A21=34),$D$2&gt;=1),Hypothèses!$B$32*MIN(1,$D$2/3),0))</f>
        <v/>
      </c>
      <c r="N21">
        <f>K21+L21+M21</f>
        <v/>
      </c>
      <c r="O21">
        <f>N21/(1+Hypothèses!$B$6)</f>
        <v/>
      </c>
      <c r="P21">
        <f>Hypothèses!$B$3*(1+Hypothèses!$B$4)^INT((A21-1)/3)</f>
        <v/>
      </c>
      <c r="Q21">
        <f>IF($A21&lt;7,2,IF($A21&lt;13,3,IF($A21&lt;19,4,5)))</f>
        <v/>
      </c>
      <c r="R21">
        <f>Q21*Hypothèses!$B$16</f>
        <v/>
      </c>
      <c r="S21">
        <f>O21*Hypothèses!$B$5</f>
        <v/>
      </c>
      <c r="T21">
        <f>O21-P21-R21-S21</f>
        <v/>
      </c>
      <c r="U21">
        <f>U20+T21</f>
        <v/>
      </c>
    </row>
    <row r="22">
      <c r="A22" t="n">
        <v>19</v>
      </c>
      <c r="B22">
        <f>INT((A22-1)/12)+1</f>
        <v/>
      </c>
      <c r="C22">
        <f>ROUND(IF(MOD($A22,12)=0,F22,(IF(22=4,0,C21))*(1-$I22)+IF((IF(22=4,0,C21))*(1-$I22)&lt;F22,(F22-(IF(22=4,0,C21))*(1-$I22))*Hypothèses!$B$10,0)),1)</f>
        <v/>
      </c>
      <c r="D22">
        <f>ROUND(IF(MOD($A22,12)=0,G22,(IF(22=4,0,D21))*(1-$I22)+IF((IF(22=4,0,D21))*(1-$I22)&lt;G22,(G22-(IF(22=4,0,D21))*(1-$I22))*Hypothèses!$B$10,0)),1)</f>
        <v/>
      </c>
      <c r="E22">
        <f>ROUND(IF(MOD($A22,12)=0,H22,(IF(22=4,0,E21))*(1-$I22)+IF((IF(22=4,0,E21))*(1-$I22)&lt;H22,(H22-(IF(22=4,0,E21))*(1-$I22))*Hypothèses!$B$10,0)),1)</f>
        <v/>
      </c>
      <c r="F22">
        <f>(IF(B22=1,0,IF(B22=2,Hypothèses!$B$25,IF(B22=3,Hypothèses!$C$25,Hypothèses!$D$25)))+(IF(B22=1,Hypothèses!$B$25,IF(B22=2,Hypothèses!$C$25,IF(B22=3,Hypothèses!$D$25,Hypothèses!$D$25)))-(IF(B22=1,0,IF(B22=2,Hypothèses!$B$25,IF(B22=3,Hypothèses!$C$25,Hypothèses!$D$25)))))*((A22)-INT((A22-1)/12)*12)/12)*$B$1</f>
        <v/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/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/>
      </c>
      <c r="I22">
        <f>IF(A22&lt;Hypothèses!$B$7,0,Hypothèses!$B$8*(1-Hypothèses!$B$9)^(A22-Hypothèses!$B$7))</f>
        <v/>
      </c>
      <c r="J22">
        <f>C22+D22+E22</f>
        <v/>
      </c>
      <c r="K22">
        <f>(C22*Hypothèses!$B$11+D22*Hypothèses!$B$12+E22*Hypothèses!$B$13)*(IF(B22=1,Hypothèses!$B$19,IF(B22=2,Hypothèses!$B$20,Hypothèses!$B$21))+(1-(IF(B22=1,Hypothèses!$B$19,IF(B22=2,Hypothèses!$B$20,Hypothèses!$B$21))))*11/12)</f>
        <v/>
      </c>
      <c r="L22">
        <f>J22*IF(B22=1,Hypothèses!$C$19,IF(B22=2,Hypothèses!$C$20,Hypothèses!$C$21))*IF(B22=1,Hypothèses!$D$19,IF(B22=2,Hypothèses!$D$20,Hypothèses!$D$21))</f>
        <v/>
      </c>
      <c r="M22">
        <f>IF(A22=18,IF($B$2&gt;=1,Hypothèses!$B$31,0),IF(AND(OR(A22=30,A22=34),$D$2&gt;=1),Hypothèses!$B$32*MIN(1,$D$2/3),0))</f>
        <v/>
      </c>
      <c r="N22">
        <f>K22+L22+M22</f>
        <v/>
      </c>
      <c r="O22">
        <f>N22/(1+Hypothèses!$B$6)</f>
        <v/>
      </c>
      <c r="P22">
        <f>Hypothèses!$B$3*(1+Hypothèses!$B$4)^INT((A22-1)/3)</f>
        <v/>
      </c>
      <c r="Q22">
        <f>IF($A22&lt;7,2,IF($A22&lt;13,3,IF($A22&lt;19,4,5)))</f>
        <v/>
      </c>
      <c r="R22">
        <f>Q22*Hypothèses!$B$16</f>
        <v/>
      </c>
      <c r="S22">
        <f>O22*Hypothèses!$B$5</f>
        <v/>
      </c>
      <c r="T22">
        <f>O22-P22-R22-S22</f>
        <v/>
      </c>
      <c r="U22">
        <f>U21+T22</f>
        <v/>
      </c>
    </row>
    <row r="23">
      <c r="A23" t="n">
        <v>20</v>
      </c>
      <c r="B23">
        <f>INT((A23-1)/12)+1</f>
        <v/>
      </c>
      <c r="C23">
        <f>ROUND(IF(MOD($A23,12)=0,F23,(IF(23=4,0,C22))*(1-$I23)+IF((IF(23=4,0,C22))*(1-$I23)&lt;F23,(F23-(IF(23=4,0,C22))*(1-$I23))*Hypothèses!$B$10,0)),1)</f>
        <v/>
      </c>
      <c r="D23">
        <f>ROUND(IF(MOD($A23,12)=0,G23,(IF(23=4,0,D22))*(1-$I23)+IF((IF(23=4,0,D22))*(1-$I23)&lt;G23,(G23-(IF(23=4,0,D22))*(1-$I23))*Hypothèses!$B$10,0)),1)</f>
        <v/>
      </c>
      <c r="E23">
        <f>ROUND(IF(MOD($A23,12)=0,H23,(IF(23=4,0,E22))*(1-$I23)+IF((IF(23=4,0,E22))*(1-$I23)&lt;H23,(H23-(IF(23=4,0,E22))*(1-$I23))*Hypothèses!$B$10,0)),1)</f>
        <v/>
      </c>
      <c r="F23">
        <f>(IF(B23=1,0,IF(B23=2,Hypothèses!$B$25,IF(B23=3,Hypothèses!$C$25,Hypothèses!$D$25)))+(IF(B23=1,Hypothèses!$B$25,IF(B23=2,Hypothèses!$C$25,IF(B23=3,Hypothèses!$D$25,Hypothèses!$D$25)))-(IF(B23=1,0,IF(B23=2,Hypothèses!$B$25,IF(B23=3,Hypothèses!$C$25,Hypothèses!$D$25)))))*((A23)-INT((A23-1)/12)*12)/12)*$B$1</f>
        <v/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/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/>
      </c>
      <c r="I23">
        <f>IF(A23&lt;Hypothèses!$B$7,0,Hypothèses!$B$8*(1-Hypothèses!$B$9)^(A23-Hypothèses!$B$7))</f>
        <v/>
      </c>
      <c r="J23">
        <f>C23+D23+E23</f>
        <v/>
      </c>
      <c r="K23">
        <f>(C23*Hypothèses!$B$11+D23*Hypothèses!$B$12+E23*Hypothèses!$B$13)*(IF(B23=1,Hypothèses!$B$19,IF(B23=2,Hypothèses!$B$20,Hypothèses!$B$21))+(1-(IF(B23=1,Hypothèses!$B$19,IF(B23=2,Hypothèses!$B$20,Hypothèses!$B$21))))*11/12)</f>
        <v/>
      </c>
      <c r="L23">
        <f>J23*IF(B23=1,Hypothèses!$C$19,IF(B23=2,Hypothèses!$C$20,Hypothèses!$C$21))*IF(B23=1,Hypothèses!$D$19,IF(B23=2,Hypothèses!$D$20,Hypothèses!$D$21))</f>
        <v/>
      </c>
      <c r="M23">
        <f>IF(A23=18,IF($B$2&gt;=1,Hypothèses!$B$31,0),IF(AND(OR(A23=30,A23=34),$D$2&gt;=1),Hypothèses!$B$32*MIN(1,$D$2/3),0))</f>
        <v/>
      </c>
      <c r="N23">
        <f>K23+L23+M23</f>
        <v/>
      </c>
      <c r="O23">
        <f>N23/(1+Hypothèses!$B$6)</f>
        <v/>
      </c>
      <c r="P23">
        <f>Hypothèses!$B$3*(1+Hypothèses!$B$4)^INT((A23-1)/3)</f>
        <v/>
      </c>
      <c r="Q23">
        <f>IF($A23&lt;7,2,IF($A23&lt;13,3,IF($A23&lt;19,4,5)))</f>
        <v/>
      </c>
      <c r="R23">
        <f>Q23*Hypothèses!$B$16</f>
        <v/>
      </c>
      <c r="S23">
        <f>O23*Hypothèses!$B$5</f>
        <v/>
      </c>
      <c r="T23">
        <f>O23-P23-R23-S23</f>
        <v/>
      </c>
      <c r="U23">
        <f>U22+T23</f>
        <v/>
      </c>
    </row>
    <row r="24">
      <c r="A24" t="n">
        <v>21</v>
      </c>
      <c r="B24">
        <f>INT((A24-1)/12)+1</f>
        <v/>
      </c>
      <c r="C24">
        <f>ROUND(IF(MOD($A24,12)=0,F24,(IF(24=4,0,C23))*(1-$I24)+IF((IF(24=4,0,C23))*(1-$I24)&lt;F24,(F24-(IF(24=4,0,C23))*(1-$I24))*Hypothèses!$B$10,0)),1)</f>
        <v/>
      </c>
      <c r="D24">
        <f>ROUND(IF(MOD($A24,12)=0,G24,(IF(24=4,0,D23))*(1-$I24)+IF((IF(24=4,0,D23))*(1-$I24)&lt;G24,(G24-(IF(24=4,0,D23))*(1-$I24))*Hypothèses!$B$10,0)),1)</f>
        <v/>
      </c>
      <c r="E24">
        <f>ROUND(IF(MOD($A24,12)=0,H24,(IF(24=4,0,E23))*(1-$I24)+IF((IF(24=4,0,E23))*(1-$I24)&lt;H24,(H24-(IF(24=4,0,E23))*(1-$I24))*Hypothèses!$B$10,0)),1)</f>
        <v/>
      </c>
      <c r="F24">
        <f>(IF(B24=1,0,IF(B24=2,Hypothèses!$B$25,IF(B24=3,Hypothèses!$C$25,Hypothèses!$D$25)))+(IF(B24=1,Hypothèses!$B$25,IF(B24=2,Hypothèses!$C$25,IF(B24=3,Hypothèses!$D$25,Hypothèses!$D$25)))-(IF(B24=1,0,IF(B24=2,Hypothèses!$B$25,IF(B24=3,Hypothèses!$C$25,Hypothèses!$D$25)))))*((A24)-INT((A24-1)/12)*12)/12)*$B$1</f>
        <v/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/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/>
      </c>
      <c r="I24">
        <f>IF(A24&lt;Hypothèses!$B$7,0,Hypothèses!$B$8*(1-Hypothèses!$B$9)^(A24-Hypothèses!$B$7))</f>
        <v/>
      </c>
      <c r="J24">
        <f>C24+D24+E24</f>
        <v/>
      </c>
      <c r="K24">
        <f>(C24*Hypothèses!$B$11+D24*Hypothèses!$B$12+E24*Hypothèses!$B$13)*(IF(B24=1,Hypothèses!$B$19,IF(B24=2,Hypothèses!$B$20,Hypothèses!$B$21))+(1-(IF(B24=1,Hypothèses!$B$19,IF(B24=2,Hypothèses!$B$20,Hypothèses!$B$21))))*11/12)</f>
        <v/>
      </c>
      <c r="L24">
        <f>J24*IF(B24=1,Hypothèses!$C$19,IF(B24=2,Hypothèses!$C$20,Hypothèses!$C$21))*IF(B24=1,Hypothèses!$D$19,IF(B24=2,Hypothèses!$D$20,Hypothèses!$D$21))</f>
        <v/>
      </c>
      <c r="M24">
        <f>IF(A24=18,IF($B$2&gt;=1,Hypothèses!$B$31,0),IF(AND(OR(A24=30,A24=34),$D$2&gt;=1),Hypothèses!$B$32*MIN(1,$D$2/3),0))</f>
        <v/>
      </c>
      <c r="N24">
        <f>K24+L24+M24</f>
        <v/>
      </c>
      <c r="O24">
        <f>N24/(1+Hypothèses!$B$6)</f>
        <v/>
      </c>
      <c r="P24">
        <f>Hypothèses!$B$3*(1+Hypothèses!$B$4)^INT((A24-1)/3)</f>
        <v/>
      </c>
      <c r="Q24">
        <f>IF($A24&lt;7,2,IF($A24&lt;13,3,IF($A24&lt;19,4,5)))</f>
        <v/>
      </c>
      <c r="R24">
        <f>Q24*Hypothèses!$B$16</f>
        <v/>
      </c>
      <c r="S24">
        <f>O24*Hypothèses!$B$5</f>
        <v/>
      </c>
      <c r="T24">
        <f>O24-P24-R24-S24</f>
        <v/>
      </c>
      <c r="U24">
        <f>U23+T24</f>
        <v/>
      </c>
    </row>
    <row r="25">
      <c r="A25" t="n">
        <v>22</v>
      </c>
      <c r="B25">
        <f>INT((A25-1)/12)+1</f>
        <v/>
      </c>
      <c r="C25">
        <f>ROUND(IF(MOD($A25,12)=0,F25,(IF(25=4,0,C24))*(1-$I25)+IF((IF(25=4,0,C24))*(1-$I25)&lt;F25,(F25-(IF(25=4,0,C24))*(1-$I25))*Hypothèses!$B$10,0)),1)</f>
        <v/>
      </c>
      <c r="D25">
        <f>ROUND(IF(MOD($A25,12)=0,G25,(IF(25=4,0,D24))*(1-$I25)+IF((IF(25=4,0,D24))*(1-$I25)&lt;G25,(G25-(IF(25=4,0,D24))*(1-$I25))*Hypothèses!$B$10,0)),1)</f>
        <v/>
      </c>
      <c r="E25">
        <f>ROUND(IF(MOD($A25,12)=0,H25,(IF(25=4,0,E24))*(1-$I25)+IF((IF(25=4,0,E24))*(1-$I25)&lt;H25,(H25-(IF(25=4,0,E24))*(1-$I25))*Hypothèses!$B$10,0)),1)</f>
        <v/>
      </c>
      <c r="F25">
        <f>(IF(B25=1,0,IF(B25=2,Hypothèses!$B$25,IF(B25=3,Hypothèses!$C$25,Hypothèses!$D$25)))+(IF(B25=1,Hypothèses!$B$25,IF(B25=2,Hypothèses!$C$25,IF(B25=3,Hypothèses!$D$25,Hypothèses!$D$25)))-(IF(B25=1,0,IF(B25=2,Hypothèses!$B$25,IF(B25=3,Hypothèses!$C$25,Hypothèses!$D$25)))))*((A25)-INT((A25-1)/12)*12)/12)*$B$1</f>
        <v/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/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/>
      </c>
      <c r="I25">
        <f>IF(A25&lt;Hypothèses!$B$7,0,Hypothèses!$B$8*(1-Hypothèses!$B$9)^(A25-Hypothèses!$B$7))</f>
        <v/>
      </c>
      <c r="J25">
        <f>C25+D25+E25</f>
        <v/>
      </c>
      <c r="K25">
        <f>(C25*Hypothèses!$B$11+D25*Hypothèses!$B$12+E25*Hypothèses!$B$13)*(IF(B25=1,Hypothèses!$B$19,IF(B25=2,Hypothèses!$B$20,Hypothèses!$B$21))+(1-(IF(B25=1,Hypothèses!$B$19,IF(B25=2,Hypothèses!$B$20,Hypothèses!$B$21))))*11/12)</f>
        <v/>
      </c>
      <c r="L25">
        <f>J25*IF(B25=1,Hypothèses!$C$19,IF(B25=2,Hypothèses!$C$20,Hypothèses!$C$21))*IF(B25=1,Hypothèses!$D$19,IF(B25=2,Hypothèses!$D$20,Hypothèses!$D$21))</f>
        <v/>
      </c>
      <c r="M25">
        <f>IF(A25=18,IF($B$2&gt;=1,Hypothèses!$B$31,0),IF(AND(OR(A25=30,A25=34),$D$2&gt;=1),Hypothèses!$B$32*MIN(1,$D$2/3),0))</f>
        <v/>
      </c>
      <c r="N25">
        <f>K25+L25+M25</f>
        <v/>
      </c>
      <c r="O25">
        <f>N25/(1+Hypothèses!$B$6)</f>
        <v/>
      </c>
      <c r="P25">
        <f>Hypothèses!$B$3*(1+Hypothèses!$B$4)^INT((A25-1)/3)</f>
        <v/>
      </c>
      <c r="Q25">
        <f>IF($A25&lt;7,2,IF($A25&lt;13,3,IF($A25&lt;19,4,5)))</f>
        <v/>
      </c>
      <c r="R25">
        <f>Q25*Hypothèses!$B$16</f>
        <v/>
      </c>
      <c r="S25">
        <f>O25*Hypothèses!$B$5</f>
        <v/>
      </c>
      <c r="T25">
        <f>O25-P25-R25-S25</f>
        <v/>
      </c>
      <c r="U25">
        <f>U24+T25</f>
        <v/>
      </c>
    </row>
    <row r="26">
      <c r="A26" t="n">
        <v>23</v>
      </c>
      <c r="B26">
        <f>INT((A26-1)/12)+1</f>
        <v/>
      </c>
      <c r="C26">
        <f>ROUND(IF(MOD($A26,12)=0,F26,(IF(26=4,0,C25))*(1-$I26)+IF((IF(26=4,0,C25))*(1-$I26)&lt;F26,(F26-(IF(26=4,0,C25))*(1-$I26))*Hypothèses!$B$10,0)),1)</f>
        <v/>
      </c>
      <c r="D26">
        <f>ROUND(IF(MOD($A26,12)=0,G26,(IF(26=4,0,D25))*(1-$I26)+IF((IF(26=4,0,D25))*(1-$I26)&lt;G26,(G26-(IF(26=4,0,D25))*(1-$I26))*Hypothèses!$B$10,0)),1)</f>
        <v/>
      </c>
      <c r="E26">
        <f>ROUND(IF(MOD($A26,12)=0,H26,(IF(26=4,0,E25))*(1-$I26)+IF((IF(26=4,0,E25))*(1-$I26)&lt;H26,(H26-(IF(26=4,0,E25))*(1-$I26))*Hypothèses!$B$10,0)),1)</f>
        <v/>
      </c>
      <c r="F26">
        <f>(IF(B26=1,0,IF(B26=2,Hypothèses!$B$25,IF(B26=3,Hypothèses!$C$25,Hypothèses!$D$25)))+(IF(B26=1,Hypothèses!$B$25,IF(B26=2,Hypothèses!$C$25,IF(B26=3,Hypothèses!$D$25,Hypothèses!$D$25)))-(IF(B26=1,0,IF(B26=2,Hypothèses!$B$25,IF(B26=3,Hypothèses!$C$25,Hypothèses!$D$25)))))*((A26)-INT((A26-1)/12)*12)/12)*$B$1</f>
        <v/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/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/>
      </c>
      <c r="I26">
        <f>IF(A26&lt;Hypothèses!$B$7,0,Hypothèses!$B$8*(1-Hypothèses!$B$9)^(A26-Hypothèses!$B$7))</f>
        <v/>
      </c>
      <c r="J26">
        <f>C26+D26+E26</f>
        <v/>
      </c>
      <c r="K26">
        <f>(C26*Hypothèses!$B$11+D26*Hypothèses!$B$12+E26*Hypothèses!$B$13)*(IF(B26=1,Hypothèses!$B$19,IF(B26=2,Hypothèses!$B$20,Hypothèses!$B$21))+(1-(IF(B26=1,Hypothèses!$B$19,IF(B26=2,Hypothèses!$B$20,Hypothèses!$B$21))))*11/12)</f>
        <v/>
      </c>
      <c r="L26">
        <f>J26*IF(B26=1,Hypothèses!$C$19,IF(B26=2,Hypothèses!$C$20,Hypothèses!$C$21))*IF(B26=1,Hypothèses!$D$19,IF(B26=2,Hypothèses!$D$20,Hypothèses!$D$21))</f>
        <v/>
      </c>
      <c r="M26">
        <f>IF(A26=18,IF($B$2&gt;=1,Hypothèses!$B$31,0),IF(AND(OR(A26=30,A26=34),$D$2&gt;=1),Hypothèses!$B$32*MIN(1,$D$2/3),0))</f>
        <v/>
      </c>
      <c r="N26">
        <f>K26+L26+M26</f>
        <v/>
      </c>
      <c r="O26">
        <f>N26/(1+Hypothèses!$B$6)</f>
        <v/>
      </c>
      <c r="P26">
        <f>Hypothèses!$B$3*(1+Hypothèses!$B$4)^INT((A26-1)/3)</f>
        <v/>
      </c>
      <c r="Q26">
        <f>IF($A26&lt;7,2,IF($A26&lt;13,3,IF($A26&lt;19,4,5)))</f>
        <v/>
      </c>
      <c r="R26">
        <f>Q26*Hypothèses!$B$16</f>
        <v/>
      </c>
      <c r="S26">
        <f>O26*Hypothèses!$B$5</f>
        <v/>
      </c>
      <c r="T26">
        <f>O26-P26-R26-S26</f>
        <v/>
      </c>
      <c r="U26">
        <f>U25+T26</f>
        <v/>
      </c>
    </row>
    <row r="27">
      <c r="A27" t="n">
        <v>24</v>
      </c>
      <c r="B27">
        <f>INT((A27-1)/12)+1</f>
        <v/>
      </c>
      <c r="C27">
        <f>ROUND(IF(MOD($A27,12)=0,F27,(IF(27=4,0,C26))*(1-$I27)+IF((IF(27=4,0,C26))*(1-$I27)&lt;F27,(F27-(IF(27=4,0,C26))*(1-$I27))*Hypothèses!$B$10,0)),1)</f>
        <v/>
      </c>
      <c r="D27">
        <f>ROUND(IF(MOD($A27,12)=0,G27,(IF(27=4,0,D26))*(1-$I27)+IF((IF(27=4,0,D26))*(1-$I27)&lt;G27,(G27-(IF(27=4,0,D26))*(1-$I27))*Hypothèses!$B$10,0)),1)</f>
        <v/>
      </c>
      <c r="E27">
        <f>ROUND(IF(MOD($A27,12)=0,H27,(IF(27=4,0,E26))*(1-$I27)+IF((IF(27=4,0,E26))*(1-$I27)&lt;H27,(H27-(IF(27=4,0,E26))*(1-$I27))*Hypothèses!$B$10,0)),1)</f>
        <v/>
      </c>
      <c r="F27">
        <f>(IF(B27=1,0,IF(B27=2,Hypothèses!$B$25,IF(B27=3,Hypothèses!$C$25,Hypothèses!$D$25)))+(IF(B27=1,Hypothèses!$B$25,IF(B27=2,Hypothèses!$C$25,IF(B27=3,Hypothèses!$D$25,Hypothèses!$D$25)))-(IF(B27=1,0,IF(B27=2,Hypothèses!$B$25,IF(B27=3,Hypothèses!$C$25,Hypothèses!$D$25)))))*((A27)-INT((A27-1)/12)*12)/12)*$B$1</f>
        <v/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/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/>
      </c>
      <c r="I27">
        <f>IF(A27&lt;Hypothèses!$B$7,0,Hypothèses!$B$8*(1-Hypothèses!$B$9)^(A27-Hypothèses!$B$7))</f>
        <v/>
      </c>
      <c r="J27">
        <f>C27+D27+E27</f>
        <v/>
      </c>
      <c r="K27">
        <f>(C27*Hypothèses!$B$11+D27*Hypothèses!$B$12+E27*Hypothèses!$B$13)*(IF(B27=1,Hypothèses!$B$19,IF(B27=2,Hypothèses!$B$20,Hypothèses!$B$21))+(1-(IF(B27=1,Hypothèses!$B$19,IF(B27=2,Hypothèses!$B$20,Hypothèses!$B$21))))*11/12)</f>
        <v/>
      </c>
      <c r="L27">
        <f>J27*IF(B27=1,Hypothèses!$C$19,IF(B27=2,Hypothèses!$C$20,Hypothèses!$C$21))*IF(B27=1,Hypothèses!$D$19,IF(B27=2,Hypothèses!$D$20,Hypothèses!$D$21))</f>
        <v/>
      </c>
      <c r="M27">
        <f>IF(A27=18,IF($B$2&gt;=1,Hypothèses!$B$31,0),IF(AND(OR(A27=30,A27=34),$D$2&gt;=1),Hypothèses!$B$32*MIN(1,$D$2/3),0))</f>
        <v/>
      </c>
      <c r="N27">
        <f>K27+L27+M27</f>
        <v/>
      </c>
      <c r="O27">
        <f>N27/(1+Hypothèses!$B$6)</f>
        <v/>
      </c>
      <c r="P27">
        <f>Hypothèses!$B$3*(1+Hypothèses!$B$4)^INT((A27-1)/3)</f>
        <v/>
      </c>
      <c r="Q27">
        <f>IF($A27&lt;7,2,IF($A27&lt;13,3,IF($A27&lt;19,4,5)))</f>
        <v/>
      </c>
      <c r="R27">
        <f>Q27*Hypothèses!$B$16</f>
        <v/>
      </c>
      <c r="S27">
        <f>O27*Hypothèses!$B$5</f>
        <v/>
      </c>
      <c r="T27">
        <f>O27-P27-R27-S27</f>
        <v/>
      </c>
      <c r="U27">
        <f>U26+T27</f>
        <v/>
      </c>
    </row>
    <row r="28">
      <c r="A28" t="n">
        <v>25</v>
      </c>
      <c r="B28">
        <f>INT((A28-1)/12)+1</f>
        <v/>
      </c>
      <c r="C28">
        <f>ROUND(IF(MOD($A28,12)=0,F28,(IF(28=4,0,C27))*(1-$I28)+IF((IF(28=4,0,C27))*(1-$I28)&lt;F28,(F28-(IF(28=4,0,C27))*(1-$I28))*Hypothèses!$B$10,0)),1)</f>
        <v/>
      </c>
      <c r="D28">
        <f>ROUND(IF(MOD($A28,12)=0,G28,(IF(28=4,0,D27))*(1-$I28)+IF((IF(28=4,0,D27))*(1-$I28)&lt;G28,(G28-(IF(28=4,0,D27))*(1-$I28))*Hypothèses!$B$10,0)),1)</f>
        <v/>
      </c>
      <c r="E28">
        <f>ROUND(IF(MOD($A28,12)=0,H28,(IF(28=4,0,E27))*(1-$I28)+IF((IF(28=4,0,E27))*(1-$I28)&lt;H28,(H28-(IF(28=4,0,E27))*(1-$I28))*Hypothèses!$B$10,0)),1)</f>
        <v/>
      </c>
      <c r="F28">
        <f>(IF(B28=1,0,IF(B28=2,Hypothèses!$B$25,IF(B28=3,Hypothèses!$C$25,Hypothèses!$D$25)))+(IF(B28=1,Hypothèses!$B$25,IF(B28=2,Hypothèses!$C$25,IF(B28=3,Hypothèses!$D$25,Hypothèses!$D$25)))-(IF(B28=1,0,IF(B28=2,Hypothèses!$B$25,IF(B28=3,Hypothèses!$C$25,Hypothèses!$D$25)))))*((A28)-INT((A28-1)/12)*12)/12)*$B$1</f>
        <v/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/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/>
      </c>
      <c r="I28">
        <f>IF(A28&lt;Hypothèses!$B$7,0,Hypothèses!$B$8*(1-Hypothèses!$B$9)^(A28-Hypothèses!$B$7))</f>
        <v/>
      </c>
      <c r="J28">
        <f>C28+D28+E28</f>
        <v/>
      </c>
      <c r="K28">
        <f>(C28*Hypothèses!$B$11+D28*Hypothèses!$B$12+E28*Hypothèses!$B$13)*(IF(B28=1,Hypothèses!$B$19,IF(B28=2,Hypothèses!$B$20,Hypothèses!$B$21))+(1-(IF(B28=1,Hypothèses!$B$19,IF(B28=2,Hypothèses!$B$20,Hypothèses!$B$21))))*11/12)</f>
        <v/>
      </c>
      <c r="L28">
        <f>J28*IF(B28=1,Hypothèses!$C$19,IF(B28=2,Hypothèses!$C$20,Hypothèses!$C$21))*IF(B28=1,Hypothèses!$D$19,IF(B28=2,Hypothèses!$D$20,Hypothèses!$D$21))</f>
        <v/>
      </c>
      <c r="M28">
        <f>IF(A28=18,IF($B$2&gt;=1,Hypothèses!$B$31,0),IF(AND(OR(A28=30,A28=34),$D$2&gt;=1),Hypothèses!$B$32*MIN(1,$D$2/3),0))</f>
        <v/>
      </c>
      <c r="N28">
        <f>K28+L28+M28</f>
        <v/>
      </c>
      <c r="O28">
        <f>N28/(1+Hypothèses!$B$6)</f>
        <v/>
      </c>
      <c r="P28">
        <f>Hypothèses!$B$3*(1+Hypothèses!$B$4)^INT((A28-1)/3)</f>
        <v/>
      </c>
      <c r="Q28">
        <f>IF($A28&lt;7,2,IF($A28&lt;13,3,IF($A28&lt;19,4,5)))</f>
        <v/>
      </c>
      <c r="R28">
        <f>Q28*Hypothèses!$B$16</f>
        <v/>
      </c>
      <c r="S28">
        <f>O28*Hypothèses!$B$5</f>
        <v/>
      </c>
      <c r="T28">
        <f>O28-P28-R28-S28</f>
        <v/>
      </c>
      <c r="U28">
        <f>U27+T28</f>
        <v/>
      </c>
    </row>
    <row r="29">
      <c r="A29" t="n">
        <v>26</v>
      </c>
      <c r="B29">
        <f>INT((A29-1)/12)+1</f>
        <v/>
      </c>
      <c r="C29">
        <f>ROUND(IF(MOD($A29,12)=0,F29,(IF(29=4,0,C28))*(1-$I29)+IF((IF(29=4,0,C28))*(1-$I29)&lt;F29,(F29-(IF(29=4,0,C28))*(1-$I29))*Hypothèses!$B$10,0)),1)</f>
        <v/>
      </c>
      <c r="D29">
        <f>ROUND(IF(MOD($A29,12)=0,G29,(IF(29=4,0,D28))*(1-$I29)+IF((IF(29=4,0,D28))*(1-$I29)&lt;G29,(G29-(IF(29=4,0,D28))*(1-$I29))*Hypothèses!$B$10,0)),1)</f>
        <v/>
      </c>
      <c r="E29">
        <f>ROUND(IF(MOD($A29,12)=0,H29,(IF(29=4,0,E28))*(1-$I29)+IF((IF(29=4,0,E28))*(1-$I29)&lt;H29,(H29-(IF(29=4,0,E28))*(1-$I29))*Hypothèses!$B$10,0)),1)</f>
        <v/>
      </c>
      <c r="F29">
        <f>(IF(B29=1,0,IF(B29=2,Hypothèses!$B$25,IF(B29=3,Hypothèses!$C$25,Hypothèses!$D$25)))+(IF(B29=1,Hypothèses!$B$25,IF(B29=2,Hypothèses!$C$25,IF(B29=3,Hypothèses!$D$25,Hypothèses!$D$25)))-(IF(B29=1,0,IF(B29=2,Hypothèses!$B$25,IF(B29=3,Hypothèses!$C$25,Hypothèses!$D$25)))))*((A29)-INT((A29-1)/12)*12)/12)*$B$1</f>
        <v/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/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/>
      </c>
      <c r="I29">
        <f>IF(A29&lt;Hypothèses!$B$7,0,Hypothèses!$B$8*(1-Hypothèses!$B$9)^(A29-Hypothèses!$B$7))</f>
        <v/>
      </c>
      <c r="J29">
        <f>C29+D29+E29</f>
        <v/>
      </c>
      <c r="K29">
        <f>(C29*Hypothèses!$B$11+D29*Hypothèses!$B$12+E29*Hypothèses!$B$13)*(IF(B29=1,Hypothèses!$B$19,IF(B29=2,Hypothèses!$B$20,Hypothèses!$B$21))+(1-(IF(B29=1,Hypothèses!$B$19,IF(B29=2,Hypothèses!$B$20,Hypothèses!$B$21))))*11/12)</f>
        <v/>
      </c>
      <c r="L29">
        <f>J29*IF(B29=1,Hypothèses!$C$19,IF(B29=2,Hypothèses!$C$20,Hypothèses!$C$21))*IF(B29=1,Hypothèses!$D$19,IF(B29=2,Hypothèses!$D$20,Hypothèses!$D$21))</f>
        <v/>
      </c>
      <c r="M29">
        <f>IF(A29=18,IF($B$2&gt;=1,Hypothèses!$B$31,0),IF(AND(OR(A29=30,A29=34),$D$2&gt;=1),Hypothèses!$B$32*MIN(1,$D$2/3),0))</f>
        <v/>
      </c>
      <c r="N29">
        <f>K29+L29+M29</f>
        <v/>
      </c>
      <c r="O29">
        <f>N29/(1+Hypothèses!$B$6)</f>
        <v/>
      </c>
      <c r="P29">
        <f>Hypothèses!$B$3*(1+Hypothèses!$B$4)^INT((A29-1)/3)</f>
        <v/>
      </c>
      <c r="Q29">
        <f>IF($A29&lt;7,2,IF($A29&lt;13,3,IF($A29&lt;19,4,5)))</f>
        <v/>
      </c>
      <c r="R29">
        <f>Q29*Hypothèses!$B$16</f>
        <v/>
      </c>
      <c r="S29">
        <f>O29*Hypothèses!$B$5</f>
        <v/>
      </c>
      <c r="T29">
        <f>O29-P29-R29-S29</f>
        <v/>
      </c>
      <c r="U29">
        <f>U28+T29</f>
        <v/>
      </c>
    </row>
    <row r="30">
      <c r="A30" t="n">
        <v>27</v>
      </c>
      <c r="B30">
        <f>INT((A30-1)/12)+1</f>
        <v/>
      </c>
      <c r="C30">
        <f>ROUND(IF(MOD($A30,12)=0,F30,(IF(30=4,0,C29))*(1-$I30)+IF((IF(30=4,0,C29))*(1-$I30)&lt;F30,(F30-(IF(30=4,0,C29))*(1-$I30))*Hypothèses!$B$10,0)),1)</f>
        <v/>
      </c>
      <c r="D30">
        <f>ROUND(IF(MOD($A30,12)=0,G30,(IF(30=4,0,D29))*(1-$I30)+IF((IF(30=4,0,D29))*(1-$I30)&lt;G30,(G30-(IF(30=4,0,D29))*(1-$I30))*Hypothèses!$B$10,0)),1)</f>
        <v/>
      </c>
      <c r="E30">
        <f>ROUND(IF(MOD($A30,12)=0,H30,(IF(30=4,0,E29))*(1-$I30)+IF((IF(30=4,0,E29))*(1-$I30)&lt;H30,(H30-(IF(30=4,0,E29))*(1-$I30))*Hypothèses!$B$10,0)),1)</f>
        <v/>
      </c>
      <c r="F30">
        <f>(IF(B30=1,0,IF(B30=2,Hypothèses!$B$25,IF(B30=3,Hypothèses!$C$25,Hypothèses!$D$25)))+(IF(B30=1,Hypothèses!$B$25,IF(B30=2,Hypothèses!$C$25,IF(B30=3,Hypothèses!$D$25,Hypothèses!$D$25)))-(IF(B30=1,0,IF(B30=2,Hypothèses!$B$25,IF(B30=3,Hypothèses!$C$25,Hypothèses!$D$25)))))*((A30)-INT((A30-1)/12)*12)/12)*$B$1</f>
        <v/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/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/>
      </c>
      <c r="I30">
        <f>IF(A30&lt;Hypothèses!$B$7,0,Hypothèses!$B$8*(1-Hypothèses!$B$9)^(A30-Hypothèses!$B$7))</f>
        <v/>
      </c>
      <c r="J30">
        <f>C30+D30+E30</f>
        <v/>
      </c>
      <c r="K30">
        <f>(C30*Hypothèses!$B$11+D30*Hypothèses!$B$12+E30*Hypothèses!$B$13)*(IF(B30=1,Hypothèses!$B$19,IF(B30=2,Hypothèses!$B$20,Hypothèses!$B$21))+(1-(IF(B30=1,Hypothèses!$B$19,IF(B30=2,Hypothèses!$B$20,Hypothèses!$B$21))))*11/12)</f>
        <v/>
      </c>
      <c r="L30">
        <f>J30*IF(B30=1,Hypothèses!$C$19,IF(B30=2,Hypothèses!$C$20,Hypothèses!$C$21))*IF(B30=1,Hypothèses!$D$19,IF(B30=2,Hypothèses!$D$20,Hypothèses!$D$21))</f>
        <v/>
      </c>
      <c r="M30">
        <f>IF(A30=18,IF($B$2&gt;=1,Hypothèses!$B$31,0),IF(AND(OR(A30=30,A30=34),$D$2&gt;=1),Hypothèses!$B$32*MIN(1,$D$2/3),0))</f>
        <v/>
      </c>
      <c r="N30">
        <f>K30+L30+M30</f>
        <v/>
      </c>
      <c r="O30">
        <f>N30/(1+Hypothèses!$B$6)</f>
        <v/>
      </c>
      <c r="P30">
        <f>Hypothèses!$B$3*(1+Hypothèses!$B$4)^INT((A30-1)/3)</f>
        <v/>
      </c>
      <c r="Q30">
        <f>IF($A30&lt;7,2,IF($A30&lt;13,3,IF($A30&lt;19,4,5)))</f>
        <v/>
      </c>
      <c r="R30">
        <f>Q30*Hypothèses!$B$16</f>
        <v/>
      </c>
      <c r="S30">
        <f>O30*Hypothèses!$B$5</f>
        <v/>
      </c>
      <c r="T30">
        <f>O30-P30-R30-S30</f>
        <v/>
      </c>
      <c r="U30">
        <f>U29+T30</f>
        <v/>
      </c>
    </row>
    <row r="31">
      <c r="A31" t="n">
        <v>28</v>
      </c>
      <c r="B31">
        <f>INT((A31-1)/12)+1</f>
        <v/>
      </c>
      <c r="C31">
        <f>ROUND(IF(MOD($A31,12)=0,F31,(IF(31=4,0,C30))*(1-$I31)+IF((IF(31=4,0,C30))*(1-$I31)&lt;F31,(F31-(IF(31=4,0,C30))*(1-$I31))*Hypothèses!$B$10,0)),1)</f>
        <v/>
      </c>
      <c r="D31">
        <f>ROUND(IF(MOD($A31,12)=0,G31,(IF(31=4,0,D30))*(1-$I31)+IF((IF(31=4,0,D30))*(1-$I31)&lt;G31,(G31-(IF(31=4,0,D30))*(1-$I31))*Hypothèses!$B$10,0)),1)</f>
        <v/>
      </c>
      <c r="E31">
        <f>ROUND(IF(MOD($A31,12)=0,H31,(IF(31=4,0,E30))*(1-$I31)+IF((IF(31=4,0,E30))*(1-$I31)&lt;H31,(H31-(IF(31=4,0,E30))*(1-$I31))*Hypothèses!$B$10,0)),1)</f>
        <v/>
      </c>
      <c r="F31">
        <f>(IF(B31=1,0,IF(B31=2,Hypothèses!$B$25,IF(B31=3,Hypothèses!$C$25,Hypothèses!$D$25)))+(IF(B31=1,Hypothèses!$B$25,IF(B31=2,Hypothèses!$C$25,IF(B31=3,Hypothèses!$D$25,Hypothèses!$D$25)))-(IF(B31=1,0,IF(B31=2,Hypothèses!$B$25,IF(B31=3,Hypothèses!$C$25,Hypothèses!$D$25)))))*((A31)-INT((A31-1)/12)*12)/12)*$B$1</f>
        <v/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/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/>
      </c>
      <c r="I31">
        <f>IF(A31&lt;Hypothèses!$B$7,0,Hypothèses!$B$8*(1-Hypothèses!$B$9)^(A31-Hypothèses!$B$7))</f>
        <v/>
      </c>
      <c r="J31">
        <f>C31+D31+E31</f>
        <v/>
      </c>
      <c r="K31">
        <f>(C31*Hypothèses!$B$11+D31*Hypothèses!$B$12+E31*Hypothèses!$B$13)*(IF(B31=1,Hypothèses!$B$19,IF(B31=2,Hypothèses!$B$20,Hypothèses!$B$21))+(1-(IF(B31=1,Hypothèses!$B$19,IF(B31=2,Hypothèses!$B$20,Hypothèses!$B$21))))*11/12)</f>
        <v/>
      </c>
      <c r="L31">
        <f>J31*IF(B31=1,Hypothèses!$C$19,IF(B31=2,Hypothèses!$C$20,Hypothèses!$C$21))*IF(B31=1,Hypothèses!$D$19,IF(B31=2,Hypothèses!$D$20,Hypothèses!$D$21))</f>
        <v/>
      </c>
      <c r="M31">
        <f>IF(A31=18,IF($B$2&gt;=1,Hypothèses!$B$31,0),IF(AND(OR(A31=30,A31=34),$D$2&gt;=1),Hypothèses!$B$32*MIN(1,$D$2/3),0))</f>
        <v/>
      </c>
      <c r="N31">
        <f>K31+L31+M31</f>
        <v/>
      </c>
      <c r="O31">
        <f>N31/(1+Hypothèses!$B$6)</f>
        <v/>
      </c>
      <c r="P31">
        <f>Hypothèses!$B$3*(1+Hypothèses!$B$4)^INT((A31-1)/3)</f>
        <v/>
      </c>
      <c r="Q31">
        <f>IF($A31&lt;7,2,IF($A31&lt;13,3,IF($A31&lt;19,4,5)))</f>
        <v/>
      </c>
      <c r="R31">
        <f>Q31*Hypothèses!$B$16</f>
        <v/>
      </c>
      <c r="S31">
        <f>O31*Hypothèses!$B$5</f>
        <v/>
      </c>
      <c r="T31">
        <f>O31-P31-R31-S31</f>
        <v/>
      </c>
      <c r="U31">
        <f>U30+T31</f>
        <v/>
      </c>
    </row>
    <row r="32">
      <c r="A32" t="n">
        <v>29</v>
      </c>
      <c r="B32">
        <f>INT((A32-1)/12)+1</f>
        <v/>
      </c>
      <c r="C32">
        <f>ROUND(IF(MOD($A32,12)=0,F32,(IF(32=4,0,C31))*(1-$I32)+IF((IF(32=4,0,C31))*(1-$I32)&lt;F32,(F32-(IF(32=4,0,C31))*(1-$I32))*Hypothèses!$B$10,0)),1)</f>
        <v/>
      </c>
      <c r="D32">
        <f>ROUND(IF(MOD($A32,12)=0,G32,(IF(32=4,0,D31))*(1-$I32)+IF((IF(32=4,0,D31))*(1-$I32)&lt;G32,(G32-(IF(32=4,0,D31))*(1-$I32))*Hypothèses!$B$10,0)),1)</f>
        <v/>
      </c>
      <c r="E32">
        <f>ROUND(IF(MOD($A32,12)=0,H32,(IF(32=4,0,E31))*(1-$I32)+IF((IF(32=4,0,E31))*(1-$I32)&lt;H32,(H32-(IF(32=4,0,E31))*(1-$I32))*Hypothèses!$B$10,0)),1)</f>
        <v/>
      </c>
      <c r="F32">
        <f>(IF(B32=1,0,IF(B32=2,Hypothèses!$B$25,IF(B32=3,Hypothèses!$C$25,Hypothèses!$D$25)))+(IF(B32=1,Hypothèses!$B$25,IF(B32=2,Hypothèses!$C$25,IF(B32=3,Hypothèses!$D$25,Hypothèses!$D$25)))-(IF(B32=1,0,IF(B32=2,Hypothèses!$B$25,IF(B32=3,Hypothèses!$C$25,Hypothèses!$D$25)))))*((A32)-INT((A32-1)/12)*12)/12)*$B$1</f>
        <v/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/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/>
      </c>
      <c r="I32">
        <f>IF(A32&lt;Hypothèses!$B$7,0,Hypothèses!$B$8*(1-Hypothèses!$B$9)^(A32-Hypothèses!$B$7))</f>
        <v/>
      </c>
      <c r="J32">
        <f>C32+D32+E32</f>
        <v/>
      </c>
      <c r="K32">
        <f>(C32*Hypothèses!$B$11+D32*Hypothèses!$B$12+E32*Hypothèses!$B$13)*(IF(B32=1,Hypothèses!$B$19,IF(B32=2,Hypothèses!$B$20,Hypothèses!$B$21))+(1-(IF(B32=1,Hypothèses!$B$19,IF(B32=2,Hypothèses!$B$20,Hypothèses!$B$21))))*11/12)</f>
        <v/>
      </c>
      <c r="L32">
        <f>J32*IF(B32=1,Hypothèses!$C$19,IF(B32=2,Hypothèses!$C$20,Hypothèses!$C$21))*IF(B32=1,Hypothèses!$D$19,IF(B32=2,Hypothèses!$D$20,Hypothèses!$D$21))</f>
        <v/>
      </c>
      <c r="M32">
        <f>IF(A32=18,IF($B$2&gt;=1,Hypothèses!$B$31,0),IF(AND(OR(A32=30,A32=34),$D$2&gt;=1),Hypothèses!$B$32*MIN(1,$D$2/3),0))</f>
        <v/>
      </c>
      <c r="N32">
        <f>K32+L32+M32</f>
        <v/>
      </c>
      <c r="O32">
        <f>N32/(1+Hypothèses!$B$6)</f>
        <v/>
      </c>
      <c r="P32">
        <f>Hypothèses!$B$3*(1+Hypothèses!$B$4)^INT((A32-1)/3)</f>
        <v/>
      </c>
      <c r="Q32">
        <f>IF($A32&lt;7,2,IF($A32&lt;13,3,IF($A32&lt;19,4,5)))</f>
        <v/>
      </c>
      <c r="R32">
        <f>Q32*Hypothèses!$B$16</f>
        <v/>
      </c>
      <c r="S32">
        <f>O32*Hypothèses!$B$5</f>
        <v/>
      </c>
      <c r="T32">
        <f>O32-P32-R32-S32</f>
        <v/>
      </c>
      <c r="U32">
        <f>U31+T32</f>
        <v/>
      </c>
    </row>
    <row r="33">
      <c r="A33" t="n">
        <v>30</v>
      </c>
      <c r="B33">
        <f>INT((A33-1)/12)+1</f>
        <v/>
      </c>
      <c r="C33">
        <f>ROUND(IF(MOD($A33,12)=0,F33,(IF(33=4,0,C32))*(1-$I33)+IF((IF(33=4,0,C32))*(1-$I33)&lt;F33,(F33-(IF(33=4,0,C32))*(1-$I33))*Hypothèses!$B$10,0)),1)</f>
        <v/>
      </c>
      <c r="D33">
        <f>ROUND(IF(MOD($A33,12)=0,G33,(IF(33=4,0,D32))*(1-$I33)+IF((IF(33=4,0,D32))*(1-$I33)&lt;G33,(G33-(IF(33=4,0,D32))*(1-$I33))*Hypothèses!$B$10,0)),1)</f>
        <v/>
      </c>
      <c r="E33">
        <f>ROUND(IF(MOD($A33,12)=0,H33,(IF(33=4,0,E32))*(1-$I33)+IF((IF(33=4,0,E32))*(1-$I33)&lt;H33,(H33-(IF(33=4,0,E32))*(1-$I33))*Hypothèses!$B$10,0)),1)</f>
        <v/>
      </c>
      <c r="F33">
        <f>(IF(B33=1,0,IF(B33=2,Hypothèses!$B$25,IF(B33=3,Hypothèses!$C$25,Hypothèses!$D$25)))+(IF(B33=1,Hypothèses!$B$25,IF(B33=2,Hypothèses!$C$25,IF(B33=3,Hypothèses!$D$25,Hypothèses!$D$25)))-(IF(B33=1,0,IF(B33=2,Hypothèses!$B$25,IF(B33=3,Hypothèses!$C$25,Hypothèses!$D$25)))))*((A33)-INT((A33-1)/12)*12)/12)*$B$1</f>
        <v/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/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/>
      </c>
      <c r="I33">
        <f>IF(A33&lt;Hypothèses!$B$7,0,Hypothèses!$B$8*(1-Hypothèses!$B$9)^(A33-Hypothèses!$B$7))</f>
        <v/>
      </c>
      <c r="J33">
        <f>C33+D33+E33</f>
        <v/>
      </c>
      <c r="K33">
        <f>(C33*Hypothèses!$B$11+D33*Hypothèses!$B$12+E33*Hypothèses!$B$13)*(IF(B33=1,Hypothèses!$B$19,IF(B33=2,Hypothèses!$B$20,Hypothèses!$B$21))+(1-(IF(B33=1,Hypothèses!$B$19,IF(B33=2,Hypothèses!$B$20,Hypothèses!$B$21))))*11/12)</f>
        <v/>
      </c>
      <c r="L33">
        <f>J33*IF(B33=1,Hypothèses!$C$19,IF(B33=2,Hypothèses!$C$20,Hypothèses!$C$21))*IF(B33=1,Hypothèses!$D$19,IF(B33=2,Hypothèses!$D$20,Hypothèses!$D$21))</f>
        <v/>
      </c>
      <c r="M33">
        <f>IF(A33=18,IF($B$2&gt;=1,Hypothèses!$B$31,0),IF(AND(OR(A33=30,A33=34),$D$2&gt;=1),Hypothèses!$B$32*MIN(1,$D$2/3),0))</f>
        <v/>
      </c>
      <c r="N33">
        <f>K33+L33+M33</f>
        <v/>
      </c>
      <c r="O33">
        <f>N33/(1+Hypothèses!$B$6)</f>
        <v/>
      </c>
      <c r="P33">
        <f>Hypothèses!$B$3*(1+Hypothèses!$B$4)^INT((A33-1)/3)</f>
        <v/>
      </c>
      <c r="Q33">
        <f>IF($A33&lt;7,2,IF($A33&lt;13,3,IF($A33&lt;19,4,5)))</f>
        <v/>
      </c>
      <c r="R33">
        <f>Q33*Hypothèses!$B$16</f>
        <v/>
      </c>
      <c r="S33">
        <f>O33*Hypothèses!$B$5</f>
        <v/>
      </c>
      <c r="T33">
        <f>O33-P33-R33-S33</f>
        <v/>
      </c>
      <c r="U33">
        <f>U32+T33</f>
        <v/>
      </c>
    </row>
    <row r="34">
      <c r="A34" t="n">
        <v>31</v>
      </c>
      <c r="B34">
        <f>INT((A34-1)/12)+1</f>
        <v/>
      </c>
      <c r="C34">
        <f>ROUND(IF(MOD($A34,12)=0,F34,(IF(34=4,0,C33))*(1-$I34)+IF((IF(34=4,0,C33))*(1-$I34)&lt;F34,(F34-(IF(34=4,0,C33))*(1-$I34))*Hypothèses!$B$10,0)),1)</f>
        <v/>
      </c>
      <c r="D34">
        <f>ROUND(IF(MOD($A34,12)=0,G34,(IF(34=4,0,D33))*(1-$I34)+IF((IF(34=4,0,D33))*(1-$I34)&lt;G34,(G34-(IF(34=4,0,D33))*(1-$I34))*Hypothèses!$B$10,0)),1)</f>
        <v/>
      </c>
      <c r="E34">
        <f>ROUND(IF(MOD($A34,12)=0,H34,(IF(34=4,0,E33))*(1-$I34)+IF((IF(34=4,0,E33))*(1-$I34)&lt;H34,(H34-(IF(34=4,0,E33))*(1-$I34))*Hypothèses!$B$10,0)),1)</f>
        <v/>
      </c>
      <c r="F34">
        <f>(IF(B34=1,0,IF(B34=2,Hypothèses!$B$25,IF(B34=3,Hypothèses!$C$25,Hypothèses!$D$25)))+(IF(B34=1,Hypothèses!$B$25,IF(B34=2,Hypothèses!$C$25,IF(B34=3,Hypothèses!$D$25,Hypothèses!$D$25)))-(IF(B34=1,0,IF(B34=2,Hypothèses!$B$25,IF(B34=3,Hypothèses!$C$25,Hypothèses!$D$25)))))*((A34)-INT((A34-1)/12)*12)/12)*$B$1</f>
        <v/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/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/>
      </c>
      <c r="I34">
        <f>IF(A34&lt;Hypothèses!$B$7,0,Hypothèses!$B$8*(1-Hypothèses!$B$9)^(A34-Hypothèses!$B$7))</f>
        <v/>
      </c>
      <c r="J34">
        <f>C34+D34+E34</f>
        <v/>
      </c>
      <c r="K34">
        <f>(C34*Hypothèses!$B$11+D34*Hypothèses!$B$12+E34*Hypothèses!$B$13)*(IF(B34=1,Hypothèses!$B$19,IF(B34=2,Hypothèses!$B$20,Hypothèses!$B$21))+(1-(IF(B34=1,Hypothèses!$B$19,IF(B34=2,Hypothèses!$B$20,Hypothèses!$B$21))))*11/12)</f>
        <v/>
      </c>
      <c r="L34">
        <f>J34*IF(B34=1,Hypothèses!$C$19,IF(B34=2,Hypothèses!$C$20,Hypothèses!$C$21))*IF(B34=1,Hypothèses!$D$19,IF(B34=2,Hypothèses!$D$20,Hypothèses!$D$21))</f>
        <v/>
      </c>
      <c r="M34">
        <f>IF(A34=18,IF($B$2&gt;=1,Hypothèses!$B$31,0),IF(AND(OR(A34=30,A34=34),$D$2&gt;=1),Hypothèses!$B$32*MIN(1,$D$2/3),0))</f>
        <v/>
      </c>
      <c r="N34">
        <f>K34+L34+M34</f>
        <v/>
      </c>
      <c r="O34">
        <f>N34/(1+Hypothèses!$B$6)</f>
        <v/>
      </c>
      <c r="P34">
        <f>Hypothèses!$B$3*(1+Hypothèses!$B$4)^INT((A34-1)/3)</f>
        <v/>
      </c>
      <c r="Q34">
        <f>IF($A34&lt;7,2,IF($A34&lt;13,3,IF($A34&lt;19,4,5)))</f>
        <v/>
      </c>
      <c r="R34">
        <f>Q34*Hypothèses!$B$16</f>
        <v/>
      </c>
      <c r="S34">
        <f>O34*Hypothèses!$B$5</f>
        <v/>
      </c>
      <c r="T34">
        <f>O34-P34-R34-S34</f>
        <v/>
      </c>
      <c r="U34">
        <f>U33+T34</f>
        <v/>
      </c>
    </row>
    <row r="35">
      <c r="A35" t="n">
        <v>32</v>
      </c>
      <c r="B35">
        <f>INT((A35-1)/12)+1</f>
        <v/>
      </c>
      <c r="C35">
        <f>ROUND(IF(MOD($A35,12)=0,F35,(IF(35=4,0,C34))*(1-$I35)+IF((IF(35=4,0,C34))*(1-$I35)&lt;F35,(F35-(IF(35=4,0,C34))*(1-$I35))*Hypothèses!$B$10,0)),1)</f>
        <v/>
      </c>
      <c r="D35">
        <f>ROUND(IF(MOD($A35,12)=0,G35,(IF(35=4,0,D34))*(1-$I35)+IF((IF(35=4,0,D34))*(1-$I35)&lt;G35,(G35-(IF(35=4,0,D34))*(1-$I35))*Hypothèses!$B$10,0)),1)</f>
        <v/>
      </c>
      <c r="E35">
        <f>ROUND(IF(MOD($A35,12)=0,H35,(IF(35=4,0,E34))*(1-$I35)+IF((IF(35=4,0,E34))*(1-$I35)&lt;H35,(H35-(IF(35=4,0,E34))*(1-$I35))*Hypothèses!$B$10,0)),1)</f>
        <v/>
      </c>
      <c r="F35">
        <f>(IF(B35=1,0,IF(B35=2,Hypothèses!$B$25,IF(B35=3,Hypothèses!$C$25,Hypothèses!$D$25)))+(IF(B35=1,Hypothèses!$B$25,IF(B35=2,Hypothèses!$C$25,IF(B35=3,Hypothèses!$D$25,Hypothèses!$D$25)))-(IF(B35=1,0,IF(B35=2,Hypothèses!$B$25,IF(B35=3,Hypothèses!$C$25,Hypothèses!$D$25)))))*((A35)-INT((A35-1)/12)*12)/12)*$B$1</f>
        <v/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/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/>
      </c>
      <c r="I35">
        <f>IF(A35&lt;Hypothèses!$B$7,0,Hypothèses!$B$8*(1-Hypothèses!$B$9)^(A35-Hypothèses!$B$7))</f>
        <v/>
      </c>
      <c r="J35">
        <f>C35+D35+E35</f>
        <v/>
      </c>
      <c r="K35">
        <f>(C35*Hypothèses!$B$11+D35*Hypothèses!$B$12+E35*Hypothèses!$B$13)*(IF(B35=1,Hypothèses!$B$19,IF(B35=2,Hypothèses!$B$20,Hypothèses!$B$21))+(1-(IF(B35=1,Hypothèses!$B$19,IF(B35=2,Hypothèses!$B$20,Hypothèses!$B$21))))*11/12)</f>
        <v/>
      </c>
      <c r="L35">
        <f>J35*IF(B35=1,Hypothèses!$C$19,IF(B35=2,Hypothèses!$C$20,Hypothèses!$C$21))*IF(B35=1,Hypothèses!$D$19,IF(B35=2,Hypothèses!$D$20,Hypothèses!$D$21))</f>
        <v/>
      </c>
      <c r="M35">
        <f>IF(A35=18,IF($B$2&gt;=1,Hypothèses!$B$31,0),IF(AND(OR(A35=30,A35=34),$D$2&gt;=1),Hypothèses!$B$32*MIN(1,$D$2/3),0))</f>
        <v/>
      </c>
      <c r="N35">
        <f>K35+L35+M35</f>
        <v/>
      </c>
      <c r="O35">
        <f>N35/(1+Hypothèses!$B$6)</f>
        <v/>
      </c>
      <c r="P35">
        <f>Hypothèses!$B$3*(1+Hypothèses!$B$4)^INT((A35-1)/3)</f>
        <v/>
      </c>
      <c r="Q35">
        <f>IF($A35&lt;7,2,IF($A35&lt;13,3,IF($A35&lt;19,4,5)))</f>
        <v/>
      </c>
      <c r="R35">
        <f>Q35*Hypothèses!$B$16</f>
        <v/>
      </c>
      <c r="S35">
        <f>O35*Hypothèses!$B$5</f>
        <v/>
      </c>
      <c r="T35">
        <f>O35-P35-R35-S35</f>
        <v/>
      </c>
      <c r="U35">
        <f>U34+T35</f>
        <v/>
      </c>
    </row>
    <row r="36">
      <c r="A36" t="n">
        <v>33</v>
      </c>
      <c r="B36">
        <f>INT((A36-1)/12)+1</f>
        <v/>
      </c>
      <c r="C36">
        <f>ROUND(IF(MOD($A36,12)=0,F36,(IF(36=4,0,C35))*(1-$I36)+IF((IF(36=4,0,C35))*(1-$I36)&lt;F36,(F36-(IF(36=4,0,C35))*(1-$I36))*Hypothèses!$B$10,0)),1)</f>
        <v/>
      </c>
      <c r="D36">
        <f>ROUND(IF(MOD($A36,12)=0,G36,(IF(36=4,0,D35))*(1-$I36)+IF((IF(36=4,0,D35))*(1-$I36)&lt;G36,(G36-(IF(36=4,0,D35))*(1-$I36))*Hypothèses!$B$10,0)),1)</f>
        <v/>
      </c>
      <c r="E36">
        <f>ROUND(IF(MOD($A36,12)=0,H36,(IF(36=4,0,E35))*(1-$I36)+IF((IF(36=4,0,E35))*(1-$I36)&lt;H36,(H36-(IF(36=4,0,E35))*(1-$I36))*Hypothèses!$B$10,0)),1)</f>
        <v/>
      </c>
      <c r="F36">
        <f>(IF(B36=1,0,IF(B36=2,Hypothèses!$B$25,IF(B36=3,Hypothèses!$C$25,Hypothèses!$D$25)))+(IF(B36=1,Hypothèses!$B$25,IF(B36=2,Hypothèses!$C$25,IF(B36=3,Hypothèses!$D$25,Hypothèses!$D$25)))-(IF(B36=1,0,IF(B36=2,Hypothèses!$B$25,IF(B36=3,Hypothèses!$C$25,Hypothèses!$D$25)))))*((A36)-INT((A36-1)/12)*12)/12)*$B$1</f>
        <v/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/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/>
      </c>
      <c r="I36">
        <f>IF(A36&lt;Hypothèses!$B$7,0,Hypothèses!$B$8*(1-Hypothèses!$B$9)^(A36-Hypothèses!$B$7))</f>
        <v/>
      </c>
      <c r="J36">
        <f>C36+D36+E36</f>
        <v/>
      </c>
      <c r="K36">
        <f>(C36*Hypothèses!$B$11+D36*Hypothèses!$B$12+E36*Hypothèses!$B$13)*(IF(B36=1,Hypothèses!$B$19,IF(B36=2,Hypothèses!$B$20,Hypothèses!$B$21))+(1-(IF(B36=1,Hypothèses!$B$19,IF(B36=2,Hypothèses!$B$20,Hypothèses!$B$21))))*11/12)</f>
        <v/>
      </c>
      <c r="L36">
        <f>J36*IF(B36=1,Hypothèses!$C$19,IF(B36=2,Hypothèses!$C$20,Hypothèses!$C$21))*IF(B36=1,Hypothèses!$D$19,IF(B36=2,Hypothèses!$D$20,Hypothèses!$D$21))</f>
        <v/>
      </c>
      <c r="M36">
        <f>IF(A36=18,IF($B$2&gt;=1,Hypothèses!$B$31,0),IF(AND(OR(A36=30,A36=34),$D$2&gt;=1),Hypothèses!$B$32*MIN(1,$D$2/3),0))</f>
        <v/>
      </c>
      <c r="N36">
        <f>K36+L36+M36</f>
        <v/>
      </c>
      <c r="O36">
        <f>N36/(1+Hypothèses!$B$6)</f>
        <v/>
      </c>
      <c r="P36">
        <f>Hypothèses!$B$3*(1+Hypothèses!$B$4)^INT((A36-1)/3)</f>
        <v/>
      </c>
      <c r="Q36">
        <f>IF($A36&lt;7,2,IF($A36&lt;13,3,IF($A36&lt;19,4,5)))</f>
        <v/>
      </c>
      <c r="R36">
        <f>Q36*Hypothèses!$B$16</f>
        <v/>
      </c>
      <c r="S36">
        <f>O36*Hypothèses!$B$5</f>
        <v/>
      </c>
      <c r="T36">
        <f>O36-P36-R36-S36</f>
        <v/>
      </c>
      <c r="U36">
        <f>U35+T36</f>
        <v/>
      </c>
    </row>
    <row r="37">
      <c r="A37" t="n">
        <v>34</v>
      </c>
      <c r="B37">
        <f>INT((A37-1)/12)+1</f>
        <v/>
      </c>
      <c r="C37">
        <f>ROUND(IF(MOD($A37,12)=0,F37,(IF(37=4,0,C36))*(1-$I37)+IF((IF(37=4,0,C36))*(1-$I37)&lt;F37,(F37-(IF(37=4,0,C36))*(1-$I37))*Hypothèses!$B$10,0)),1)</f>
        <v/>
      </c>
      <c r="D37">
        <f>ROUND(IF(MOD($A37,12)=0,G37,(IF(37=4,0,D36))*(1-$I37)+IF((IF(37=4,0,D36))*(1-$I37)&lt;G37,(G37-(IF(37=4,0,D36))*(1-$I37))*Hypothèses!$B$10,0)),1)</f>
        <v/>
      </c>
      <c r="E37">
        <f>ROUND(IF(MOD($A37,12)=0,H37,(IF(37=4,0,E36))*(1-$I37)+IF((IF(37=4,0,E36))*(1-$I37)&lt;H37,(H37-(IF(37=4,0,E36))*(1-$I37))*Hypothèses!$B$10,0)),1)</f>
        <v/>
      </c>
      <c r="F37">
        <f>(IF(B37=1,0,IF(B37=2,Hypothèses!$B$25,IF(B37=3,Hypothèses!$C$25,Hypothèses!$D$25)))+(IF(B37=1,Hypothèses!$B$25,IF(B37=2,Hypothèses!$C$25,IF(B37=3,Hypothèses!$D$25,Hypothèses!$D$25)))-(IF(B37=1,0,IF(B37=2,Hypothèses!$B$25,IF(B37=3,Hypothèses!$C$25,Hypothèses!$D$25)))))*((A37)-INT((A37-1)/12)*12)/12)*$B$1</f>
        <v/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/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/>
      </c>
      <c r="I37">
        <f>IF(A37&lt;Hypothèses!$B$7,0,Hypothèses!$B$8*(1-Hypothèses!$B$9)^(A37-Hypothèses!$B$7))</f>
        <v/>
      </c>
      <c r="J37">
        <f>C37+D37+E37</f>
        <v/>
      </c>
      <c r="K37">
        <f>(C37*Hypothèses!$B$11+D37*Hypothèses!$B$12+E37*Hypothèses!$B$13)*(IF(B37=1,Hypothèses!$B$19,IF(B37=2,Hypothèses!$B$20,Hypothèses!$B$21))+(1-(IF(B37=1,Hypothèses!$B$19,IF(B37=2,Hypothèses!$B$20,Hypothèses!$B$21))))*11/12)</f>
        <v/>
      </c>
      <c r="L37">
        <f>J37*IF(B37=1,Hypothèses!$C$19,IF(B37=2,Hypothèses!$C$20,Hypothèses!$C$21))*IF(B37=1,Hypothèses!$D$19,IF(B37=2,Hypothèses!$D$20,Hypothèses!$D$21))</f>
        <v/>
      </c>
      <c r="M37">
        <f>IF(A37=18,IF($B$2&gt;=1,Hypothèses!$B$31,0),IF(AND(OR(A37=30,A37=34),$D$2&gt;=1),Hypothèses!$B$32*MIN(1,$D$2/3),0))</f>
        <v/>
      </c>
      <c r="N37">
        <f>K37+L37+M37</f>
        <v/>
      </c>
      <c r="O37">
        <f>N37/(1+Hypothèses!$B$6)</f>
        <v/>
      </c>
      <c r="P37">
        <f>Hypothèses!$B$3*(1+Hypothèses!$B$4)^INT((A37-1)/3)</f>
        <v/>
      </c>
      <c r="Q37">
        <f>IF($A37&lt;7,2,IF($A37&lt;13,3,IF($A37&lt;19,4,5)))</f>
        <v/>
      </c>
      <c r="R37">
        <f>Q37*Hypothèses!$B$16</f>
        <v/>
      </c>
      <c r="S37">
        <f>O37*Hypothèses!$B$5</f>
        <v/>
      </c>
      <c r="T37">
        <f>O37-P37-R37-S37</f>
        <v/>
      </c>
      <c r="U37">
        <f>U36+T37</f>
        <v/>
      </c>
    </row>
    <row r="38">
      <c r="A38" t="n">
        <v>35</v>
      </c>
      <c r="B38">
        <f>INT((A38-1)/12)+1</f>
        <v/>
      </c>
      <c r="C38">
        <f>ROUND(IF(MOD($A38,12)=0,F38,(IF(38=4,0,C37))*(1-$I38)+IF((IF(38=4,0,C37))*(1-$I38)&lt;F38,(F38-(IF(38=4,0,C37))*(1-$I38))*Hypothèses!$B$10,0)),1)</f>
        <v/>
      </c>
      <c r="D38">
        <f>ROUND(IF(MOD($A38,12)=0,G38,(IF(38=4,0,D37))*(1-$I38)+IF((IF(38=4,0,D37))*(1-$I38)&lt;G38,(G38-(IF(38=4,0,D37))*(1-$I38))*Hypothèses!$B$10,0)),1)</f>
        <v/>
      </c>
      <c r="E38">
        <f>ROUND(IF(MOD($A38,12)=0,H38,(IF(38=4,0,E37))*(1-$I38)+IF((IF(38=4,0,E37))*(1-$I38)&lt;H38,(H38-(IF(38=4,0,E37))*(1-$I38))*Hypothèses!$B$10,0)),1)</f>
        <v/>
      </c>
      <c r="F38">
        <f>(IF(B38=1,0,IF(B38=2,Hypothèses!$B$25,IF(B38=3,Hypothèses!$C$25,Hypothèses!$D$25)))+(IF(B38=1,Hypothèses!$B$25,IF(B38=2,Hypothèses!$C$25,IF(B38=3,Hypothèses!$D$25,Hypothèses!$D$25)))-(IF(B38=1,0,IF(B38=2,Hypothèses!$B$25,IF(B38=3,Hypothèses!$C$25,Hypothèses!$D$25)))))*((A38)-INT((A38-1)/12)*12)/12)*$B$1</f>
        <v/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/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/>
      </c>
      <c r="I38">
        <f>IF(A38&lt;Hypothèses!$B$7,0,Hypothèses!$B$8*(1-Hypothèses!$B$9)^(A38-Hypothèses!$B$7))</f>
        <v/>
      </c>
      <c r="J38">
        <f>C38+D38+E38</f>
        <v/>
      </c>
      <c r="K38">
        <f>(C38*Hypothèses!$B$11+D38*Hypothèses!$B$12+E38*Hypothèses!$B$13)*(IF(B38=1,Hypothèses!$B$19,IF(B38=2,Hypothèses!$B$20,Hypothèses!$B$21))+(1-(IF(B38=1,Hypothèses!$B$19,IF(B38=2,Hypothèses!$B$20,Hypothèses!$B$21))))*11/12)</f>
        <v/>
      </c>
      <c r="L38">
        <f>J38*IF(B38=1,Hypothèses!$C$19,IF(B38=2,Hypothèses!$C$20,Hypothèses!$C$21))*IF(B38=1,Hypothèses!$D$19,IF(B38=2,Hypothèses!$D$20,Hypothèses!$D$21))</f>
        <v/>
      </c>
      <c r="M38">
        <f>IF(A38=18,IF($B$2&gt;=1,Hypothèses!$B$31,0),IF(AND(OR(A38=30,A38=34),$D$2&gt;=1),Hypothèses!$B$32*MIN(1,$D$2/3),0))</f>
        <v/>
      </c>
      <c r="N38">
        <f>K38+L38+M38</f>
        <v/>
      </c>
      <c r="O38">
        <f>N38/(1+Hypothèses!$B$6)</f>
        <v/>
      </c>
      <c r="P38">
        <f>Hypothèses!$B$3*(1+Hypothèses!$B$4)^INT((A38-1)/3)</f>
        <v/>
      </c>
      <c r="Q38">
        <f>IF($A38&lt;7,2,IF($A38&lt;13,3,IF($A38&lt;19,4,5)))</f>
        <v/>
      </c>
      <c r="R38">
        <f>Q38*Hypothèses!$B$16</f>
        <v/>
      </c>
      <c r="S38">
        <f>O38*Hypothèses!$B$5</f>
        <v/>
      </c>
      <c r="T38">
        <f>O38-P38-R38-S38</f>
        <v/>
      </c>
      <c r="U38">
        <f>U37+T38</f>
        <v/>
      </c>
    </row>
    <row r="39">
      <c r="A39" t="n">
        <v>36</v>
      </c>
      <c r="B39">
        <f>INT((A39-1)/12)+1</f>
        <v/>
      </c>
      <c r="C39">
        <f>ROUND(IF(MOD($A39,12)=0,F39,(IF(39=4,0,C38))*(1-$I39)+IF((IF(39=4,0,C38))*(1-$I39)&lt;F39,(F39-(IF(39=4,0,C38))*(1-$I39))*Hypothèses!$B$10,0)),1)</f>
        <v/>
      </c>
      <c r="D39">
        <f>ROUND(IF(MOD($A39,12)=0,G39,(IF(39=4,0,D38))*(1-$I39)+IF((IF(39=4,0,D38))*(1-$I39)&lt;G39,(G39-(IF(39=4,0,D38))*(1-$I39))*Hypothèses!$B$10,0)),1)</f>
        <v/>
      </c>
      <c r="E39">
        <f>ROUND(IF(MOD($A39,12)=0,H39,(IF(39=4,0,E38))*(1-$I39)+IF((IF(39=4,0,E38))*(1-$I39)&lt;H39,(H39-(IF(39=4,0,E38))*(1-$I39))*Hypothèses!$B$10,0)),1)</f>
        <v/>
      </c>
      <c r="F39">
        <f>(IF(B39=1,0,IF(B39=2,Hypothèses!$B$25,IF(B39=3,Hypothèses!$C$25,Hypothèses!$D$25)))+(IF(B39=1,Hypothèses!$B$25,IF(B39=2,Hypothèses!$C$25,IF(B39=3,Hypothèses!$D$25,Hypothèses!$D$25)))-(IF(B39=1,0,IF(B39=2,Hypothèses!$B$25,IF(B39=3,Hypothèses!$C$25,Hypothèses!$D$25)))))*((A39)-INT((A39-1)/12)*12)/12)*$B$1</f>
        <v/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/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/>
      </c>
      <c r="I39">
        <f>IF(A39&lt;Hypothèses!$B$7,0,Hypothèses!$B$8*(1-Hypothèses!$B$9)^(A39-Hypothèses!$B$7))</f>
        <v/>
      </c>
      <c r="J39">
        <f>C39+D39+E39</f>
        <v/>
      </c>
      <c r="K39">
        <f>(C39*Hypothèses!$B$11+D39*Hypothèses!$B$12+E39*Hypothèses!$B$13)*(IF(B39=1,Hypothèses!$B$19,IF(B39=2,Hypothèses!$B$20,Hypothèses!$B$21))+(1-(IF(B39=1,Hypothèses!$B$19,IF(B39=2,Hypothèses!$B$20,Hypothèses!$B$21))))*11/12)</f>
        <v/>
      </c>
      <c r="L39">
        <f>J39*IF(B39=1,Hypothèses!$C$19,IF(B39=2,Hypothèses!$C$20,Hypothèses!$C$21))*IF(B39=1,Hypothèses!$D$19,IF(B39=2,Hypothèses!$D$20,Hypothèses!$D$21))</f>
        <v/>
      </c>
      <c r="M39">
        <f>IF(A39=18,IF($B$2&gt;=1,Hypothèses!$B$31,0),IF(AND(OR(A39=30,A39=34),$D$2&gt;=1),Hypothèses!$B$32*MIN(1,$D$2/3),0))</f>
        <v/>
      </c>
      <c r="N39">
        <f>K39+L39+M39</f>
        <v/>
      </c>
      <c r="O39">
        <f>N39/(1+Hypothèses!$B$6)</f>
        <v/>
      </c>
      <c r="P39">
        <f>Hypothèses!$B$3*(1+Hypothèses!$B$4)^INT((A39-1)/3)</f>
        <v/>
      </c>
      <c r="Q39">
        <f>IF($A39&lt;7,2,IF($A39&lt;13,3,IF($A39&lt;19,4,5)))</f>
        <v/>
      </c>
      <c r="R39">
        <f>Q39*Hypothèses!$B$16</f>
        <v/>
      </c>
      <c r="S39">
        <f>O39*Hypothèses!$B$5</f>
        <v/>
      </c>
      <c r="T39">
        <f>O39-P39-R39-S39</f>
        <v/>
      </c>
      <c r="U39">
        <f>U38+T39</f>
        <v/>
      </c>
    </row>
    <row r="41">
      <c r="A41" s="2" t="inlineStr">
        <is>
          <t>Synthèse annuelle</t>
        </is>
      </c>
    </row>
    <row r="42">
      <c r="A42" t="inlineStr">
        <is>
          <t>Année</t>
        </is>
      </c>
      <c r="B42" t="inlineStr">
        <is>
          <t>CA HT</t>
        </is>
      </c>
      <c r="C42" t="inlineStr">
        <is>
          <t>EBITDA</t>
        </is>
      </c>
      <c r="D42" t="inlineStr">
        <is>
          <t>Sous-traitance dev</t>
        </is>
      </c>
      <c r="E42" t="inlineStr">
        <is>
          <t>Trésorerie fin</t>
        </is>
      </c>
    </row>
    <row r="43">
      <c r="A43" t="inlineStr">
        <is>
          <t>A1</t>
        </is>
      </c>
      <c r="B43">
        <f>SUMIF($B$4:$B$39,1,$O$4:$O$39)</f>
        <v/>
      </c>
      <c r="C43">
        <f>SUMIF($B$4:$B$39,1,$T$4:$T$39)</f>
        <v/>
      </c>
      <c r="D43">
        <f>SUMIF($B$4:$B$39,1,$R$4:$R$39)</f>
        <v/>
      </c>
      <c r="E43">
        <f>U15</f>
        <v/>
      </c>
    </row>
    <row r="44">
      <c r="A44" t="inlineStr">
        <is>
          <t>A2</t>
        </is>
      </c>
      <c r="B44">
        <f>SUMIF($B$4:$B$39,2,$O$4:$O$39)</f>
        <v/>
      </c>
      <c r="C44">
        <f>SUMIF($B$4:$B$39,2,$T$4:$T$39)</f>
        <v/>
      </c>
      <c r="D44">
        <f>SUMIF($B$4:$B$39,2,$R$4:$R$39)</f>
        <v/>
      </c>
      <c r="E44">
        <f>U27</f>
        <v/>
      </c>
    </row>
    <row r="45">
      <c r="A45" t="inlineStr">
        <is>
          <t>A3</t>
        </is>
      </c>
      <c r="B45">
        <f>SUMIF($B$4:$B$39,3,$O$4:$O$39)</f>
        <v/>
      </c>
      <c r="C45">
        <f>SUMIF($B$4:$B$39,3,$T$4:$T$39)</f>
        <v/>
      </c>
      <c r="D45">
        <f>SUMIF($B$4:$B$39,3,$R$4:$R$39)</f>
        <v/>
      </c>
      <c r="E45">
        <f>U39</f>
        <v/>
      </c>
    </row>
    <row r="47">
      <c r="A47" s="3" t="inlineStr">
        <is>
          <t>Effectifs fin A3 (cible × facteur)</t>
        </is>
      </c>
    </row>
    <row r="48">
      <c r="A48">
        <f>ROUND(Hypothèses!$D$25*$B$1,0)&amp;" Atelier · "&amp;ROUND(Hypothèses!$D$26*$B$1,0)&amp;" Horizon · "&amp;ROUND(Hypothèses!$D$27*$B$1,0)&amp;" Rayonn."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Scénario</t>
        </is>
      </c>
      <c r="B1" s="1" t="inlineStr">
        <is>
          <t>CA HT A1</t>
        </is>
      </c>
      <c r="C1" s="1" t="inlineStr">
        <is>
          <t>EBITDA A1</t>
        </is>
      </c>
      <c r="D1" s="1" t="inlineStr">
        <is>
          <t>CA HT A2</t>
        </is>
      </c>
      <c r="E1" s="1" t="inlineStr">
        <is>
          <t>EBITDA A2</t>
        </is>
      </c>
      <c r="F1" s="1" t="inlineStr">
        <is>
          <t>CA HT A3</t>
        </is>
      </c>
      <c r="G1" s="1" t="inlineStr">
        <is>
          <t>EBITDA A3</t>
        </is>
      </c>
      <c r="H1" s="1" t="inlineStr">
        <is>
          <t>Trésorerie A3</t>
        </is>
      </c>
      <c r="I1" s="1" t="inlineStr">
        <is>
          <t>Dev A3/mois</t>
        </is>
      </c>
    </row>
    <row r="2">
      <c r="A2" t="inlineStr">
        <is>
          <t>Prudent (-30%)</t>
        </is>
      </c>
      <c r="B2">
        <f>'Prudent (-30%)'!B43</f>
        <v/>
      </c>
      <c r="C2">
        <f>'Prudent (-30%)'!C43</f>
        <v/>
      </c>
      <c r="D2">
        <f>'Prudent (-30%)'!B44</f>
        <v/>
      </c>
      <c r="E2">
        <f>'Prudent (-30%)'!C44</f>
        <v/>
      </c>
      <c r="F2">
        <f>'Prudent (-30%)'!B45</f>
        <v/>
      </c>
      <c r="G2">
        <f>'Prudent (-30%)'!C45</f>
        <v/>
      </c>
      <c r="H2">
        <f>'Prudent (-30%)'!E45</f>
        <v/>
      </c>
      <c r="I2">
        <f>'Prudent (-30%)'!Q39</f>
        <v/>
      </c>
    </row>
    <row r="3">
      <c r="A3" t="inlineStr">
        <is>
          <t>Base</t>
        </is>
      </c>
      <c r="B3">
        <f>Base!B43</f>
        <v/>
      </c>
      <c r="C3">
        <f>Base!C43</f>
        <v/>
      </c>
      <c r="D3">
        <f>Base!B44</f>
        <v/>
      </c>
      <c r="E3">
        <f>Base!C44</f>
        <v/>
      </c>
      <c r="F3">
        <f>Base!B45</f>
        <v/>
      </c>
      <c r="G3">
        <f>Base!C45</f>
        <v/>
      </c>
      <c r="H3">
        <f>Base!E45</f>
        <v/>
      </c>
      <c r="I3">
        <f>Base!Q39</f>
        <v/>
      </c>
    </row>
    <row r="4">
      <c r="A4" t="inlineStr">
        <is>
          <t>Ambitieux (+30%)</t>
        </is>
      </c>
      <c r="B4">
        <f>'Ambitieux (+30%)'!B43</f>
        <v/>
      </c>
      <c r="C4">
        <f>'Ambitieux (+30%)'!C43</f>
        <v/>
      </c>
      <c r="D4">
        <f>'Ambitieux (+30%)'!B44</f>
        <v/>
      </c>
      <c r="E4">
        <f>'Ambitieux (+30%)'!C44</f>
        <v/>
      </c>
      <c r="F4">
        <f>'Ambitieux (+30%)'!B45</f>
        <v/>
      </c>
      <c r="G4">
        <f>'Ambitieux (+30%)'!C45</f>
        <v/>
      </c>
      <c r="H4">
        <f>'Ambitieux (+30%)'!E45</f>
        <v/>
      </c>
      <c r="I4">
        <f>'Ambitieux (+30%)'!Q39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2026-06-23T10:23:37Z</dcterms:created>
  <dcterms:modified xmlns:dcterms="http://purl.org/dc/terms/" xmlns:xsi="http://www.w3.org/2001/XMLSchema-instance" xsi:type="dcterms:W3CDTF">2026-06-23T10:23:37Z</dcterms:modified>
</cp:coreProperties>
</file>