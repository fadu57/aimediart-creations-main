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Prudent (-30%)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Ambitieux (+30%)" sheetId="4" state="visible" r:id="rId4"/>
    <sheet xmlns:r="http://schemas.openxmlformats.org/officeDocument/2006/relationships" name="Comparatif annu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639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Paramètre</t>
        </is>
      </c>
      <c r="B1" s="1" t="inlineStr">
        <is>
          <t>Valeur</t>
        </is>
      </c>
    </row>
    <row r="2">
      <c r="A2" t="inlineStr">
        <is>
          <t>Capital initial (€)</t>
        </is>
      </c>
      <c r="B2" t="n">
        <v>2100</v>
      </c>
    </row>
    <row r="3">
      <c r="A3" t="inlineStr">
        <is>
          <t>Frais fixes infra départ (€/mois)</t>
        </is>
      </c>
      <c r="B3" t="n">
        <v>500</v>
      </c>
    </row>
    <row r="4">
      <c r="A4" t="inlineStr">
        <is>
          <t>Hausse frais fixes / trimestre</t>
        </is>
      </c>
      <c r="B4" t="n">
        <v>0.15</v>
      </c>
    </row>
    <row r="5">
      <c r="A5" t="inlineStr">
        <is>
          <t>Frais variables (% CA HT)</t>
        </is>
      </c>
      <c r="B5" t="n">
        <v>0.01</v>
      </c>
    </row>
    <row r="6">
      <c r="A6" t="inlineStr">
        <is>
          <t>TVA (%)</t>
        </is>
      </c>
      <c r="B6" t="n">
        <v>0.2</v>
      </c>
    </row>
    <row r="7">
      <c r="A7" t="inlineStr">
        <is>
          <t>Churn — début (mois)</t>
        </is>
      </c>
      <c r="B7" t="n">
        <v>9</v>
      </c>
    </row>
    <row r="8">
      <c r="A8" t="inlineStr">
        <is>
          <t>Churn initial (%/mois)</t>
        </is>
      </c>
      <c r="B8" t="n">
        <v>0.05</v>
      </c>
    </row>
    <row r="9">
      <c r="A9" t="inlineStr">
        <is>
          <t>Décroissance churn (%/mois)</t>
        </is>
      </c>
      <c r="B9" t="n">
        <v>0.1</v>
      </c>
    </row>
    <row r="10">
      <c r="A10" t="inlineStr">
        <is>
          <t>Rattrapage rampe (%/mois)</t>
        </is>
      </c>
      <c r="B10" t="n">
        <v>0.4</v>
      </c>
    </row>
    <row r="11">
      <c r="A11" t="inlineStr">
        <is>
          <t>Prix Atelier TTC (€/mois)</t>
        </is>
      </c>
      <c r="B11" t="n">
        <v>89</v>
      </c>
    </row>
    <row r="12">
      <c r="A12" t="inlineStr">
        <is>
          <t>Prix Horizon TTC (€/mois)</t>
        </is>
      </c>
      <c r="B12" t="n">
        <v>149</v>
      </c>
    </row>
    <row r="13">
      <c r="A13" t="inlineStr">
        <is>
          <t>Prix L'Envergure TTC (€/mois)</t>
        </is>
      </c>
      <c r="B13" t="n">
        <v>499</v>
      </c>
    </row>
    <row r="14">
      <c r="A14" t="inlineStr">
        <is>
          <t>Prix Rayonnement TTC (€/mois)</t>
        </is>
      </c>
      <c r="B14" t="n">
        <v>990</v>
      </c>
    </row>
    <row r="15">
      <c r="A15" t="inlineStr">
        <is>
          <t>TJM développeur (€ HT)</t>
        </is>
      </c>
      <c r="B15" t="n">
        <v>450</v>
      </c>
    </row>
    <row r="16">
      <c r="A16" t="inlineStr">
        <is>
          <t>Jours / mois / développeur</t>
        </is>
      </c>
      <c r="B16" t="n">
        <v>10</v>
      </c>
    </row>
    <row r="17">
      <c r="A17" t="inlineStr">
        <is>
          <t>Coût mensuel / développeur (€ HT)</t>
        </is>
      </c>
      <c r="B17">
        <f>B15*B16</f>
        <v/>
      </c>
    </row>
    <row r="19">
      <c r="A19" s="1" t="inlineStr">
        <is>
          <t>Facturation par année</t>
        </is>
      </c>
      <c r="B19" s="1" t="n"/>
      <c r="C19" s="1" t="n"/>
      <c r="D19" s="1" t="n"/>
    </row>
    <row r="20">
      <c r="A20" t="inlineStr">
        <is>
          <t>A1</t>
        </is>
      </c>
      <c r="B20" t="n">
        <v>0.6</v>
      </c>
      <c r="C20" t="n">
        <v>0.05</v>
      </c>
      <c r="D20" t="n">
        <v>20</v>
      </c>
    </row>
    <row r="21">
      <c r="A21" t="inlineStr">
        <is>
          <t>A2</t>
        </is>
      </c>
      <c r="B21" t="n">
        <v>0.5</v>
      </c>
      <c r="C21" t="n">
        <v>0.1</v>
      </c>
      <c r="D21" t="n">
        <v>25</v>
      </c>
    </row>
    <row r="22">
      <c r="A22" t="inlineStr">
        <is>
          <t>A3</t>
        </is>
      </c>
      <c r="B22" t="n">
        <v>0.4</v>
      </c>
      <c r="C22" t="n">
        <v>0.12</v>
      </c>
      <c r="D22" t="n">
        <v>30</v>
      </c>
    </row>
    <row r="24">
      <c r="A24" s="1" t="inlineStr">
        <is>
          <t>Effectifs cibles fin d'année (base, avant facteur scénario)</t>
        </is>
      </c>
      <c r="B24" s="1" t="n"/>
      <c r="C24" s="1" t="n"/>
      <c r="D24" s="1" t="n"/>
    </row>
    <row r="25">
      <c r="A25" t="inlineStr">
        <is>
          <t>Plan</t>
        </is>
      </c>
      <c r="B25" t="inlineStr">
        <is>
          <t>Fin A1</t>
        </is>
      </c>
      <c r="C25" t="inlineStr">
        <is>
          <t>Fin A2</t>
        </is>
      </c>
      <c r="D25" t="inlineStr">
        <is>
          <t>Fin A3</t>
        </is>
      </c>
    </row>
    <row r="26">
      <c r="A26" t="inlineStr">
        <is>
          <t>Atelier</t>
        </is>
      </c>
      <c r="B26" t="n">
        <v>5</v>
      </c>
      <c r="C26" t="n">
        <v>10</v>
      </c>
      <c r="D26" t="n">
        <v>20</v>
      </c>
    </row>
    <row r="27">
      <c r="A27" t="inlineStr">
        <is>
          <t>Horizon</t>
        </is>
      </c>
      <c r="B27" t="n">
        <v>10</v>
      </c>
      <c r="C27" t="n">
        <v>35</v>
      </c>
      <c r="D27" t="n">
        <v>70</v>
      </c>
    </row>
    <row r="28">
      <c r="A28" t="inlineStr">
        <is>
          <t>L'Envergure</t>
        </is>
      </c>
      <c r="B28" t="n">
        <v>0</v>
      </c>
      <c r="C28" t="n">
        <v>1</v>
      </c>
      <c r="D28" t="n">
        <v>3</v>
      </c>
    </row>
    <row r="29">
      <c r="A29" t="inlineStr">
        <is>
          <t>Rayonnement</t>
        </is>
      </c>
      <c r="B29" t="n">
        <v>0</v>
      </c>
      <c r="C29" t="n">
        <v>1</v>
      </c>
      <c r="D29" t="n">
        <v>2</v>
      </c>
    </row>
    <row r="30">
      <c r="A30" t="inlineStr">
        <is>
          <t>Zénith (contrats)</t>
        </is>
      </c>
      <c r="B30" t="n">
        <v>0</v>
      </c>
      <c r="C30" t="n">
        <v>1</v>
      </c>
      <c r="D30" t="n">
        <v>3</v>
      </c>
    </row>
    <row r="32">
      <c r="A32" t="inlineStr">
        <is>
          <t>Zénith — montants TTC (base)</t>
        </is>
      </c>
    </row>
    <row r="33">
      <c r="A33" t="inlineStr">
        <is>
          <t>Mois 18</t>
        </is>
      </c>
      <c r="B33" t="n">
        <v>15000</v>
      </c>
    </row>
    <row r="34">
      <c r="A34" t="inlineStr">
        <is>
          <t>Mois 30/34</t>
        </is>
      </c>
      <c r="B34" t="n">
        <v>17000</v>
      </c>
    </row>
    <row r="36">
      <c r="A36" t="inlineStr">
        <is>
          <t>Note</t>
        </is>
      </c>
      <c r="B36" t="inlineStr">
        <is>
          <t>Modifier les valeurs ci-dessus : les 3 onglets scénario se recalculent automatiquement.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t="inlineStr">
        <is>
          <t>Facteur clients (scénario)</t>
        </is>
      </c>
      <c r="B1" t="n">
        <v>0.7</v>
      </c>
    </row>
    <row r="2">
      <c r="A2" t="inlineStr">
        <is>
          <t>Zénith fin A2 (cible)</t>
        </is>
      </c>
      <c r="B2">
        <f>ROUND(Hypothèses!$C$30*$B$1,0)</f>
        <v/>
      </c>
      <c r="C2" t="inlineStr">
        <is>
          <t>Zénith fin A3 (cible)</t>
        </is>
      </c>
      <c r="D2">
        <f>ROUND(Hypothèses!$D$30*$B$1,0)</f>
        <v/>
      </c>
    </row>
    <row r="3">
      <c r="A3" s="1" t="inlineStr">
        <is>
          <t>Mois</t>
        </is>
      </c>
      <c r="B3" s="1" t="inlineStr">
        <is>
          <t>Année</t>
        </is>
      </c>
      <c r="C3" s="1" t="inlineStr">
        <is>
          <t>Atelier</t>
        </is>
      </c>
      <c r="D3" s="1" t="inlineStr">
        <is>
          <t>Horizon</t>
        </is>
      </c>
      <c r="E3" s="1" t="inlineStr">
        <is>
          <t>Envergure</t>
        </is>
      </c>
      <c r="F3" s="1" t="inlineStr">
        <is>
          <t>Rayonnement</t>
        </is>
      </c>
      <c r="G3" s="1" t="inlineStr">
        <is>
          <t>Cible Atelier</t>
        </is>
      </c>
      <c r="H3" s="1" t="inlineStr">
        <is>
          <t>Cible Horizon</t>
        </is>
      </c>
      <c r="I3" s="1" t="inlineStr">
        <is>
          <t>Cible Enverg.</t>
        </is>
      </c>
      <c r="J3" s="1" t="inlineStr">
        <is>
          <t>Cible Rayonn.</t>
        </is>
      </c>
      <c r="K3" s="1" t="inlineStr">
        <is>
          <t>Taux churn</t>
        </is>
      </c>
      <c r="L3" s="1" t="inlineStr">
        <is>
          <t>Clients payants</t>
        </is>
      </c>
      <c r="M3" s="1" t="inlineStr">
        <is>
          <t>MRR abo TTC</t>
        </is>
      </c>
      <c r="N3" s="1" t="inlineStr">
        <is>
          <t>Options TTC</t>
        </is>
      </c>
      <c r="O3" s="1" t="inlineStr">
        <is>
          <t>Zénith TTC</t>
        </is>
      </c>
      <c r="P3" s="1" t="inlineStr">
        <is>
          <t>CA TTC</t>
        </is>
      </c>
      <c r="Q3" s="1" t="inlineStr">
        <is>
          <t>CA HT</t>
        </is>
      </c>
      <c r="R3" s="1" t="inlineStr">
        <is>
          <t>Frais fixes infra</t>
        </is>
      </c>
      <c r="S3" s="1" t="inlineStr">
        <is>
          <t>Nb développeurs</t>
        </is>
      </c>
      <c r="T3" s="1" t="inlineStr">
        <is>
          <t>Sous-traitance dev (HT)</t>
        </is>
      </c>
      <c r="U3" s="1" t="inlineStr">
        <is>
          <t>Frais variables 1%</t>
        </is>
      </c>
      <c r="V3" s="1" t="inlineStr">
        <is>
          <t>EBITDA</t>
        </is>
      </c>
      <c r="W3" s="1" t="inlineStr">
        <is>
          <t>Trésorerie</t>
        </is>
      </c>
    </row>
    <row r="4">
      <c r="A4" t="n">
        <v>1</v>
      </c>
      <c r="B4">
        <f>INT((A4-1)/12)+1</f>
        <v/>
      </c>
      <c r="C4">
        <f>ROUND(IF(MOD($A4,12)=0,G4,(IF(4=4,0,C3))*(1-$K4)+IF((IF(4=4,0,C3))*(1-$K4)&lt;G4,(G4-(IF(4=4,0,C3))*(1-$K4))*Hypothèses!$B$10,0)),1)</f>
        <v/>
      </c>
      <c r="D4">
        <f>ROUND(IF(MOD($A4,12)=0,H4,(IF(4=4,0,D3))*(1-$K4)+IF((IF(4=4,0,D3))*(1-$K4)&lt;H4,(H4-(IF(4=4,0,D3))*(1-$K4))*Hypothèses!$B$10,0)),1)</f>
        <v/>
      </c>
      <c r="E4">
        <f>ROUND(IF(MOD($A4,12)=0,I4,(IF(4=4,0,E3))*(1-$K4)+IF((IF(4=4,0,E3))*(1-$K4)&lt;I4,(I4-(IF(4=4,0,E3))*(1-$K4))*Hypothèses!$B$10,0)),1)</f>
        <v/>
      </c>
      <c r="F4">
        <f>ROUND(IF(MOD($A4,12)=0,J4,(IF(4=4,0,F3))*(1-$K4)+IF((IF(4=4,0,F3))*(1-$K4)&lt;J4,(J4-(IF(4=4,0,F3))*(1-$K4))*Hypothèses!$B$10,0)),1)</f>
        <v/>
      </c>
      <c r="G4">
        <f>(IF(B4=1,0,IF(B4=2,Hypothèses!$B$26,IF(B4=3,Hypothèses!$C$26,Hypothèses!$D$26)))+(IF(B4=1,Hypothèses!$B$26,IF(B4=2,Hypothèses!$C$26,IF(B4=3,Hypothèses!$D$26,Hypothèses!$D$26)))-(IF(B4=1,0,IF(B4=2,Hypothèses!$B$26,IF(B4=3,Hypothèses!$C$26,Hypothèses!$D$26)))))*((A4)-INT((A4-1)/12)*12)/12)*$B$1</f>
        <v/>
      </c>
      <c r="H4">
        <f>(IF(B4=1,0,IF(B4=2,Hypothèses!$B$27,IF(B4=3,Hypothèses!$C$27,Hypothèses!$D$27)))+(IF(B4=1,Hypothèses!$B$27,IF(B4=2,Hypothèses!$C$27,IF(B4=3,Hypothèses!$D$27,Hypothèses!$D$27)))-(IF(B4=1,0,IF(B4=2,Hypothèses!$B$27,IF(B4=3,Hypothèses!$C$27,Hypothèses!$D$27)))))*((A4)-INT((A4-1)/12)*12)/12)*$B$1</f>
        <v/>
      </c>
      <c r="I4">
        <f>(IF(B4=1,0,IF(B4=2,Hypothèses!$B$28,IF(B4=3,Hypothèses!$C$28,Hypothèses!$D$28)))+(IF(B4=1,Hypothèses!$B$28,IF(B4=2,Hypothèses!$C$28,IF(B4=3,Hypothèses!$D$28,Hypothèses!$D$28)))-(IF(B4=1,0,IF(B4=2,Hypothèses!$B$28,IF(B4=3,Hypothèses!$C$28,Hypothèses!$D$28)))))*((A4)-INT((A4-1)/12)*12)/12)*$B$1</f>
        <v/>
      </c>
      <c r="J4">
        <f>(IF(B4=1,0,IF(B4=2,Hypothèses!$B$29,IF(B4=3,Hypothèses!$C$29,Hypothèses!$D$29)))+(IF(B4=1,Hypothèses!$B$29,IF(B4=2,Hypothèses!$C$29,IF(B4=3,Hypothèses!$D$29,Hypothèses!$D$29)))-(IF(B4=1,0,IF(B4=2,Hypothèses!$B$29,IF(B4=3,Hypothèses!$C$29,Hypothèses!$D$29)))))*((A4)-INT((A4-1)/12)*12)/12)*$B$1</f>
        <v/>
      </c>
      <c r="K4">
        <f>IF(A4&lt;Hypothèses!$B$7,0,Hypothèses!$B$8*(1-Hypothèses!$B$9)^(A4-Hypothèses!$B$7))</f>
        <v/>
      </c>
      <c r="L4">
        <f>C4+D4+E4+F4</f>
        <v/>
      </c>
      <c r="M4">
        <f>(C4*Hypothèses!$B$11+D4*Hypothèses!$B$12+E4*Hypothèses!$B$13+F4*Hypothèses!$B$14)*(IF(B4=1,Hypothèses!$B$20,IF(B4=2,Hypothèses!$B$21,Hypothèses!$B$22))+(1-(IF(B4=1,Hypothèses!$B$20,IF(B4=2,Hypothèses!$B$21,Hypothèses!$B$22))))*11/12)</f>
        <v/>
      </c>
      <c r="N4">
        <f>L4*IF(B4=1,Hypothèses!$C$20,IF(B4=2,Hypothèses!$C$21,Hypothèses!$C$22))*IF(B4=1,Hypothèses!$D$20,IF(B4=2,Hypothèses!$D$21,Hypothèses!$D$22))</f>
        <v/>
      </c>
      <c r="O4">
        <f>IF(A4=18,IF($B$2&gt;=1,Hypothèses!$B$33,0),IF(AND(OR(A4=30,A4=34),$D$2&gt;=1),Hypothèses!$B$34*MIN(1,$D$2/3),0))</f>
        <v/>
      </c>
      <c r="P4">
        <f>M4+N4+O4</f>
        <v/>
      </c>
      <c r="Q4">
        <f>P4/(1+Hypothèses!$B$6)</f>
        <v/>
      </c>
      <c r="R4">
        <f>Hypothèses!$B$3*(1+Hypothèses!$B$4)^INT((A4-1)/3)</f>
        <v/>
      </c>
      <c r="S4">
        <f>0</f>
        <v/>
      </c>
      <c r="T4">
        <f>S4*Hypothèses!$B$17</f>
        <v/>
      </c>
      <c r="U4">
        <f>Q4*Hypothèses!$B$5</f>
        <v/>
      </c>
      <c r="V4">
        <f>Q4-R4-T4-U4</f>
        <v/>
      </c>
      <c r="W4">
        <f>Hypothèses!$B$2+V4</f>
        <v/>
      </c>
    </row>
    <row r="5">
      <c r="A5" t="n">
        <v>2</v>
      </c>
      <c r="B5">
        <f>INT((A5-1)/12)+1</f>
        <v/>
      </c>
      <c r="C5">
        <f>ROUND(IF(MOD($A5,12)=0,G5,(IF(5=4,0,C4))*(1-$K5)+IF((IF(5=4,0,C4))*(1-$K5)&lt;G5,(G5-(IF(5=4,0,C4))*(1-$K5))*Hypothèses!$B$10,0)),1)</f>
        <v/>
      </c>
      <c r="D5">
        <f>ROUND(IF(MOD($A5,12)=0,H5,(IF(5=4,0,D4))*(1-$K5)+IF((IF(5=4,0,D4))*(1-$K5)&lt;H5,(H5-(IF(5=4,0,D4))*(1-$K5))*Hypothèses!$B$10,0)),1)</f>
        <v/>
      </c>
      <c r="E5">
        <f>ROUND(IF(MOD($A5,12)=0,I5,(IF(5=4,0,E4))*(1-$K5)+IF((IF(5=4,0,E4))*(1-$K5)&lt;I5,(I5-(IF(5=4,0,E4))*(1-$K5))*Hypothèses!$B$10,0)),1)</f>
        <v/>
      </c>
      <c r="F5">
        <f>ROUND(IF(MOD($A5,12)=0,J5,(IF(5=4,0,F4))*(1-$K5)+IF((IF(5=4,0,F4))*(1-$K5)&lt;J5,(J5-(IF(5=4,0,F4))*(1-$K5))*Hypothèses!$B$10,0)),1)</f>
        <v/>
      </c>
      <c r="G5">
        <f>(IF(B5=1,0,IF(B5=2,Hypothèses!$B$26,IF(B5=3,Hypothèses!$C$26,Hypothèses!$D$26)))+(IF(B5=1,Hypothèses!$B$26,IF(B5=2,Hypothèses!$C$26,IF(B5=3,Hypothèses!$D$26,Hypothèses!$D$26)))-(IF(B5=1,0,IF(B5=2,Hypothèses!$B$26,IF(B5=3,Hypothèses!$C$26,Hypothèses!$D$26)))))*((A5)-INT((A5-1)/12)*12)/12)*$B$1</f>
        <v/>
      </c>
      <c r="H5">
        <f>(IF(B5=1,0,IF(B5=2,Hypothèses!$B$27,IF(B5=3,Hypothèses!$C$27,Hypothèses!$D$27)))+(IF(B5=1,Hypothèses!$B$27,IF(B5=2,Hypothèses!$C$27,IF(B5=3,Hypothèses!$D$27,Hypothèses!$D$27)))-(IF(B5=1,0,IF(B5=2,Hypothèses!$B$27,IF(B5=3,Hypothèses!$C$27,Hypothèses!$D$27)))))*((A5)-INT((A5-1)/12)*12)/12)*$B$1</f>
        <v/>
      </c>
      <c r="I5">
        <f>(IF(B5=1,0,IF(B5=2,Hypothèses!$B$28,IF(B5=3,Hypothèses!$C$28,Hypothèses!$D$28)))+(IF(B5=1,Hypothèses!$B$28,IF(B5=2,Hypothèses!$C$28,IF(B5=3,Hypothèses!$D$28,Hypothèses!$D$28)))-(IF(B5=1,0,IF(B5=2,Hypothèses!$B$28,IF(B5=3,Hypothèses!$C$28,Hypothèses!$D$28)))))*((A5)-INT((A5-1)/12)*12)/12)*$B$1</f>
        <v/>
      </c>
      <c r="J5">
        <f>(IF(B5=1,0,IF(B5=2,Hypothèses!$B$29,IF(B5=3,Hypothèses!$C$29,Hypothèses!$D$29)))+(IF(B5=1,Hypothèses!$B$29,IF(B5=2,Hypothèses!$C$29,IF(B5=3,Hypothèses!$D$29,Hypothèses!$D$29)))-(IF(B5=1,0,IF(B5=2,Hypothèses!$B$29,IF(B5=3,Hypothèses!$C$29,Hypothèses!$D$29)))))*((A5)-INT((A5-1)/12)*12)/12)*$B$1</f>
        <v/>
      </c>
      <c r="K5">
        <f>IF(A5&lt;Hypothèses!$B$7,0,Hypothèses!$B$8*(1-Hypothèses!$B$9)^(A5-Hypothèses!$B$7))</f>
        <v/>
      </c>
      <c r="L5">
        <f>C5+D5+E5+F5</f>
        <v/>
      </c>
      <c r="M5">
        <f>(C5*Hypothèses!$B$11+D5*Hypothèses!$B$12+E5*Hypothèses!$B$13+F5*Hypothèses!$B$14)*(IF(B5=1,Hypothèses!$B$20,IF(B5=2,Hypothèses!$B$21,Hypothèses!$B$22))+(1-(IF(B5=1,Hypothèses!$B$20,IF(B5=2,Hypothèses!$B$21,Hypothèses!$B$22))))*11/12)</f>
        <v/>
      </c>
      <c r="N5">
        <f>L5*IF(B5=1,Hypothèses!$C$20,IF(B5=2,Hypothèses!$C$21,Hypothèses!$C$22))*IF(B5=1,Hypothèses!$D$20,IF(B5=2,Hypothèses!$D$21,Hypothèses!$D$22))</f>
        <v/>
      </c>
      <c r="O5">
        <f>IF(A5=18,IF($B$2&gt;=1,Hypothèses!$B$33,0),IF(AND(OR(A5=30,A5=34),$D$2&gt;=1),Hypothèses!$B$34*MIN(1,$D$2/3),0))</f>
        <v/>
      </c>
      <c r="P5">
        <f>M5+N5+O5</f>
        <v/>
      </c>
      <c r="Q5">
        <f>P5/(1+Hypothèses!$B$6)</f>
        <v/>
      </c>
      <c r="R5">
        <f>Hypothèses!$B$3*(1+Hypothèses!$B$4)^INT((A5-1)/3)</f>
        <v/>
      </c>
      <c r="S5">
        <f>0</f>
        <v/>
      </c>
      <c r="T5">
        <f>S5*Hypothèses!$B$17</f>
        <v/>
      </c>
      <c r="U5">
        <f>Q5*Hypothèses!$B$5</f>
        <v/>
      </c>
      <c r="V5">
        <f>Q5-R5-T5-U5</f>
        <v/>
      </c>
      <c r="W5">
        <f>W4+V5</f>
        <v/>
      </c>
    </row>
    <row r="6">
      <c r="A6" t="n">
        <v>3</v>
      </c>
      <c r="B6">
        <f>INT((A6-1)/12)+1</f>
        <v/>
      </c>
      <c r="C6">
        <f>ROUND(IF(MOD($A6,12)=0,G6,(IF(6=4,0,C5))*(1-$K6)+IF((IF(6=4,0,C5))*(1-$K6)&lt;G6,(G6-(IF(6=4,0,C5))*(1-$K6))*Hypothèses!$B$10,0)),1)</f>
        <v/>
      </c>
      <c r="D6">
        <f>ROUND(IF(MOD($A6,12)=0,H6,(IF(6=4,0,D5))*(1-$K6)+IF((IF(6=4,0,D5))*(1-$K6)&lt;H6,(H6-(IF(6=4,0,D5))*(1-$K6))*Hypothèses!$B$10,0)),1)</f>
        <v/>
      </c>
      <c r="E6">
        <f>ROUND(IF(MOD($A6,12)=0,I6,(IF(6=4,0,E5))*(1-$K6)+IF((IF(6=4,0,E5))*(1-$K6)&lt;I6,(I6-(IF(6=4,0,E5))*(1-$K6))*Hypothèses!$B$10,0)),1)</f>
        <v/>
      </c>
      <c r="F6">
        <f>ROUND(IF(MOD($A6,12)=0,J6,(IF(6=4,0,F5))*(1-$K6)+IF((IF(6=4,0,F5))*(1-$K6)&lt;J6,(J6-(IF(6=4,0,F5))*(1-$K6))*Hypothèses!$B$10,0)),1)</f>
        <v/>
      </c>
      <c r="G6">
        <f>(IF(B6=1,0,IF(B6=2,Hypothèses!$B$26,IF(B6=3,Hypothèses!$C$26,Hypothèses!$D$26)))+(IF(B6=1,Hypothèses!$B$26,IF(B6=2,Hypothèses!$C$26,IF(B6=3,Hypothèses!$D$26,Hypothèses!$D$26)))-(IF(B6=1,0,IF(B6=2,Hypothèses!$B$26,IF(B6=3,Hypothèses!$C$26,Hypothèses!$D$26)))))*((A6)-INT((A6-1)/12)*12)/12)*$B$1</f>
        <v/>
      </c>
      <c r="H6">
        <f>(IF(B6=1,0,IF(B6=2,Hypothèses!$B$27,IF(B6=3,Hypothèses!$C$27,Hypothèses!$D$27)))+(IF(B6=1,Hypothèses!$B$27,IF(B6=2,Hypothèses!$C$27,IF(B6=3,Hypothèses!$D$27,Hypothèses!$D$27)))-(IF(B6=1,0,IF(B6=2,Hypothèses!$B$27,IF(B6=3,Hypothèses!$C$27,Hypothèses!$D$27)))))*((A6)-INT((A6-1)/12)*12)/12)*$B$1</f>
        <v/>
      </c>
      <c r="I6">
        <f>(IF(B6=1,0,IF(B6=2,Hypothèses!$B$28,IF(B6=3,Hypothèses!$C$28,Hypothèses!$D$28)))+(IF(B6=1,Hypothèses!$B$28,IF(B6=2,Hypothèses!$C$28,IF(B6=3,Hypothèses!$D$28,Hypothèses!$D$28)))-(IF(B6=1,0,IF(B6=2,Hypothèses!$B$28,IF(B6=3,Hypothèses!$C$28,Hypothèses!$D$28)))))*((A6)-INT((A6-1)/12)*12)/12)*$B$1</f>
        <v/>
      </c>
      <c r="J6">
        <f>(IF(B6=1,0,IF(B6=2,Hypothèses!$B$29,IF(B6=3,Hypothèses!$C$29,Hypothèses!$D$29)))+(IF(B6=1,Hypothèses!$B$29,IF(B6=2,Hypothèses!$C$29,IF(B6=3,Hypothèses!$D$29,Hypothèses!$D$29)))-(IF(B6=1,0,IF(B6=2,Hypothèses!$B$29,IF(B6=3,Hypothèses!$C$29,Hypothèses!$D$29)))))*((A6)-INT((A6-1)/12)*12)/12)*$B$1</f>
        <v/>
      </c>
      <c r="K6">
        <f>IF(A6&lt;Hypothèses!$B$7,0,Hypothèses!$B$8*(1-Hypothèses!$B$9)^(A6-Hypothèses!$B$7))</f>
        <v/>
      </c>
      <c r="L6">
        <f>C6+D6+E6+F6</f>
        <v/>
      </c>
      <c r="M6">
        <f>(C6*Hypothèses!$B$11+D6*Hypothèses!$B$12+E6*Hypothèses!$B$13+F6*Hypothèses!$B$14)*(IF(B6=1,Hypothèses!$B$20,IF(B6=2,Hypothèses!$B$21,Hypothèses!$B$22))+(1-(IF(B6=1,Hypothèses!$B$20,IF(B6=2,Hypothèses!$B$21,Hypothèses!$B$22))))*11/12)</f>
        <v/>
      </c>
      <c r="N6">
        <f>L6*IF(B6=1,Hypothèses!$C$20,IF(B6=2,Hypothèses!$C$21,Hypothèses!$C$22))*IF(B6=1,Hypothèses!$D$20,IF(B6=2,Hypothèses!$D$21,Hypothèses!$D$22))</f>
        <v/>
      </c>
      <c r="O6">
        <f>IF(A6=18,IF($B$2&gt;=1,Hypothèses!$B$33,0),IF(AND(OR(A6=30,A6=34),$D$2&gt;=1),Hypothèses!$B$34*MIN(1,$D$2/3),0))</f>
        <v/>
      </c>
      <c r="P6">
        <f>M6+N6+O6</f>
        <v/>
      </c>
      <c r="Q6">
        <f>P6/(1+Hypothèses!$B$6)</f>
        <v/>
      </c>
      <c r="R6">
        <f>Hypothèses!$B$3*(1+Hypothèses!$B$4)^INT((A6-1)/3)</f>
        <v/>
      </c>
      <c r="S6">
        <f>0</f>
        <v/>
      </c>
      <c r="T6">
        <f>S6*Hypothèses!$B$17</f>
        <v/>
      </c>
      <c r="U6">
        <f>Q6*Hypothèses!$B$5</f>
        <v/>
      </c>
      <c r="V6">
        <f>Q6-R6-T6-U6</f>
        <v/>
      </c>
      <c r="W6">
        <f>W5+V6</f>
        <v/>
      </c>
    </row>
    <row r="7">
      <c r="A7" t="n">
        <v>4</v>
      </c>
      <c r="B7">
        <f>INT((A7-1)/12)+1</f>
        <v/>
      </c>
      <c r="C7">
        <f>ROUND(IF(MOD($A7,12)=0,G7,(IF(7=4,0,C6))*(1-$K7)+IF((IF(7=4,0,C6))*(1-$K7)&lt;G7,(G7-(IF(7=4,0,C6))*(1-$K7))*Hypothèses!$B$10,0)),1)</f>
        <v/>
      </c>
      <c r="D7">
        <f>ROUND(IF(MOD($A7,12)=0,H7,(IF(7=4,0,D6))*(1-$K7)+IF((IF(7=4,0,D6))*(1-$K7)&lt;H7,(H7-(IF(7=4,0,D6))*(1-$K7))*Hypothèses!$B$10,0)),1)</f>
        <v/>
      </c>
      <c r="E7">
        <f>ROUND(IF(MOD($A7,12)=0,I7,(IF(7=4,0,E6))*(1-$K7)+IF((IF(7=4,0,E6))*(1-$K7)&lt;I7,(I7-(IF(7=4,0,E6))*(1-$K7))*Hypothèses!$B$10,0)),1)</f>
        <v/>
      </c>
      <c r="F7">
        <f>ROUND(IF(MOD($A7,12)=0,J7,(IF(7=4,0,F6))*(1-$K7)+IF((IF(7=4,0,F6))*(1-$K7)&lt;J7,(J7-(IF(7=4,0,F6))*(1-$K7))*Hypothèses!$B$10,0)),1)</f>
        <v/>
      </c>
      <c r="G7">
        <f>(IF(B7=1,0,IF(B7=2,Hypothèses!$B$26,IF(B7=3,Hypothèses!$C$26,Hypothèses!$D$26)))+(IF(B7=1,Hypothèses!$B$26,IF(B7=2,Hypothèses!$C$26,IF(B7=3,Hypothèses!$D$26,Hypothèses!$D$26)))-(IF(B7=1,0,IF(B7=2,Hypothèses!$B$26,IF(B7=3,Hypothèses!$C$26,Hypothèses!$D$26)))))*((A7)-INT((A7-1)/12)*12)/12)*$B$1</f>
        <v/>
      </c>
      <c r="H7">
        <f>(IF(B7=1,0,IF(B7=2,Hypothèses!$B$27,IF(B7=3,Hypothèses!$C$27,Hypothèses!$D$27)))+(IF(B7=1,Hypothèses!$B$27,IF(B7=2,Hypothèses!$C$27,IF(B7=3,Hypothèses!$D$27,Hypothèses!$D$27)))-(IF(B7=1,0,IF(B7=2,Hypothèses!$B$27,IF(B7=3,Hypothèses!$C$27,Hypothèses!$D$27)))))*((A7)-INT((A7-1)/12)*12)/12)*$B$1</f>
        <v/>
      </c>
      <c r="I7">
        <f>(IF(B7=1,0,IF(B7=2,Hypothèses!$B$28,IF(B7=3,Hypothèses!$C$28,Hypothèses!$D$28)))+(IF(B7=1,Hypothèses!$B$28,IF(B7=2,Hypothèses!$C$28,IF(B7=3,Hypothèses!$D$28,Hypothèses!$D$28)))-(IF(B7=1,0,IF(B7=2,Hypothèses!$B$28,IF(B7=3,Hypothèses!$C$28,Hypothèses!$D$28)))))*((A7)-INT((A7-1)/12)*12)/12)*$B$1</f>
        <v/>
      </c>
      <c r="J7">
        <f>(IF(B7=1,0,IF(B7=2,Hypothèses!$B$29,IF(B7=3,Hypothèses!$C$29,Hypothèses!$D$29)))+(IF(B7=1,Hypothèses!$B$29,IF(B7=2,Hypothèses!$C$29,IF(B7=3,Hypothèses!$D$29,Hypothèses!$D$29)))-(IF(B7=1,0,IF(B7=2,Hypothèses!$B$29,IF(B7=3,Hypothèses!$C$29,Hypothèses!$D$29)))))*((A7)-INT((A7-1)/12)*12)/12)*$B$1</f>
        <v/>
      </c>
      <c r="K7">
        <f>IF(A7&lt;Hypothèses!$B$7,0,Hypothèses!$B$8*(1-Hypothèses!$B$9)^(A7-Hypothèses!$B$7))</f>
        <v/>
      </c>
      <c r="L7">
        <f>C7+D7+E7+F7</f>
        <v/>
      </c>
      <c r="M7">
        <f>(C7*Hypothèses!$B$11+D7*Hypothèses!$B$12+E7*Hypothèses!$B$13+F7*Hypothèses!$B$14)*(IF(B7=1,Hypothèses!$B$20,IF(B7=2,Hypothèses!$B$21,Hypothèses!$B$22))+(1-(IF(B7=1,Hypothèses!$B$20,IF(B7=2,Hypothèses!$B$21,Hypothèses!$B$22))))*11/12)</f>
        <v/>
      </c>
      <c r="N7">
        <f>L7*IF(B7=1,Hypothèses!$C$20,IF(B7=2,Hypothèses!$C$21,Hypothèses!$C$22))*IF(B7=1,Hypothèses!$D$20,IF(B7=2,Hypothèses!$D$21,Hypothèses!$D$22))</f>
        <v/>
      </c>
      <c r="O7">
        <f>IF(A7=18,IF($B$2&gt;=1,Hypothèses!$B$33,0),IF(AND(OR(A7=30,A7=34),$D$2&gt;=1),Hypothèses!$B$34*MIN(1,$D$2/3),0))</f>
        <v/>
      </c>
      <c r="P7">
        <f>M7+N7+O7</f>
        <v/>
      </c>
      <c r="Q7">
        <f>P7/(1+Hypothèses!$B$6)</f>
        <v/>
      </c>
      <c r="R7">
        <f>Hypothèses!$B$3*(1+Hypothèses!$B$4)^INT((A7-1)/3)</f>
        <v/>
      </c>
      <c r="S7">
        <f>0</f>
        <v/>
      </c>
      <c r="T7">
        <f>S7*Hypothèses!$B$17</f>
        <v/>
      </c>
      <c r="U7">
        <f>Q7*Hypothèses!$B$5</f>
        <v/>
      </c>
      <c r="V7">
        <f>Q7-R7-T7-U7</f>
        <v/>
      </c>
      <c r="W7">
        <f>W6+V7</f>
        <v/>
      </c>
    </row>
    <row r="8">
      <c r="A8" t="n">
        <v>5</v>
      </c>
      <c r="B8">
        <f>INT((A8-1)/12)+1</f>
        <v/>
      </c>
      <c r="C8">
        <f>ROUND(IF(MOD($A8,12)=0,G8,(IF(8=4,0,C7))*(1-$K8)+IF((IF(8=4,0,C7))*(1-$K8)&lt;G8,(G8-(IF(8=4,0,C7))*(1-$K8))*Hypothèses!$B$10,0)),1)</f>
        <v/>
      </c>
      <c r="D8">
        <f>ROUND(IF(MOD($A8,12)=0,H8,(IF(8=4,0,D7))*(1-$K8)+IF((IF(8=4,0,D7))*(1-$K8)&lt;H8,(H8-(IF(8=4,0,D7))*(1-$K8))*Hypothèses!$B$10,0)),1)</f>
        <v/>
      </c>
      <c r="E8">
        <f>ROUND(IF(MOD($A8,12)=0,I8,(IF(8=4,0,E7))*(1-$K8)+IF((IF(8=4,0,E7))*(1-$K8)&lt;I8,(I8-(IF(8=4,0,E7))*(1-$K8))*Hypothèses!$B$10,0)),1)</f>
        <v/>
      </c>
      <c r="F8">
        <f>ROUND(IF(MOD($A8,12)=0,J8,(IF(8=4,0,F7))*(1-$K8)+IF((IF(8=4,0,F7))*(1-$K8)&lt;J8,(J8-(IF(8=4,0,F7))*(1-$K8))*Hypothèses!$B$10,0)),1)</f>
        <v/>
      </c>
      <c r="G8">
        <f>(IF(B8=1,0,IF(B8=2,Hypothèses!$B$26,IF(B8=3,Hypothèses!$C$26,Hypothèses!$D$26)))+(IF(B8=1,Hypothèses!$B$26,IF(B8=2,Hypothèses!$C$26,IF(B8=3,Hypothèses!$D$26,Hypothèses!$D$26)))-(IF(B8=1,0,IF(B8=2,Hypothèses!$B$26,IF(B8=3,Hypothèses!$C$26,Hypothèses!$D$26)))))*((A8)-INT((A8-1)/12)*12)/12)*$B$1</f>
        <v/>
      </c>
      <c r="H8">
        <f>(IF(B8=1,0,IF(B8=2,Hypothèses!$B$27,IF(B8=3,Hypothèses!$C$27,Hypothèses!$D$27)))+(IF(B8=1,Hypothèses!$B$27,IF(B8=2,Hypothèses!$C$27,IF(B8=3,Hypothèses!$D$27,Hypothèses!$D$27)))-(IF(B8=1,0,IF(B8=2,Hypothèses!$B$27,IF(B8=3,Hypothèses!$C$27,Hypothèses!$D$27)))))*((A8)-INT((A8-1)/12)*12)/12)*$B$1</f>
        <v/>
      </c>
      <c r="I8">
        <f>(IF(B8=1,0,IF(B8=2,Hypothèses!$B$28,IF(B8=3,Hypothèses!$C$28,Hypothèses!$D$28)))+(IF(B8=1,Hypothèses!$B$28,IF(B8=2,Hypothèses!$C$28,IF(B8=3,Hypothèses!$D$28,Hypothèses!$D$28)))-(IF(B8=1,0,IF(B8=2,Hypothèses!$B$28,IF(B8=3,Hypothèses!$C$28,Hypothèses!$D$28)))))*((A8)-INT((A8-1)/12)*12)/12)*$B$1</f>
        <v/>
      </c>
      <c r="J8">
        <f>(IF(B8=1,0,IF(B8=2,Hypothèses!$B$29,IF(B8=3,Hypothèses!$C$29,Hypothèses!$D$29)))+(IF(B8=1,Hypothèses!$B$29,IF(B8=2,Hypothèses!$C$29,IF(B8=3,Hypothèses!$D$29,Hypothèses!$D$29)))-(IF(B8=1,0,IF(B8=2,Hypothèses!$B$29,IF(B8=3,Hypothèses!$C$29,Hypothèses!$D$29)))))*((A8)-INT((A8-1)/12)*12)/12)*$B$1</f>
        <v/>
      </c>
      <c r="K8">
        <f>IF(A8&lt;Hypothèses!$B$7,0,Hypothèses!$B$8*(1-Hypothèses!$B$9)^(A8-Hypothèses!$B$7))</f>
        <v/>
      </c>
      <c r="L8">
        <f>C8+D8+E8+F8</f>
        <v/>
      </c>
      <c r="M8">
        <f>(C8*Hypothèses!$B$11+D8*Hypothèses!$B$12+E8*Hypothèses!$B$13+F8*Hypothèses!$B$14)*(IF(B8=1,Hypothèses!$B$20,IF(B8=2,Hypothèses!$B$21,Hypothèses!$B$22))+(1-(IF(B8=1,Hypothèses!$B$20,IF(B8=2,Hypothèses!$B$21,Hypothèses!$B$22))))*11/12)</f>
        <v/>
      </c>
      <c r="N8">
        <f>L8*IF(B8=1,Hypothèses!$C$20,IF(B8=2,Hypothèses!$C$21,Hypothèses!$C$22))*IF(B8=1,Hypothèses!$D$20,IF(B8=2,Hypothèses!$D$21,Hypothèses!$D$22))</f>
        <v/>
      </c>
      <c r="O8">
        <f>IF(A8=18,IF($B$2&gt;=1,Hypothèses!$B$33,0),IF(AND(OR(A8=30,A8=34),$D$2&gt;=1),Hypothèses!$B$34*MIN(1,$D$2/3),0))</f>
        <v/>
      </c>
      <c r="P8">
        <f>M8+N8+O8</f>
        <v/>
      </c>
      <c r="Q8">
        <f>P8/(1+Hypothèses!$B$6)</f>
        <v/>
      </c>
      <c r="R8">
        <f>Hypothèses!$B$3*(1+Hypothèses!$B$4)^INT((A8-1)/3)</f>
        <v/>
      </c>
      <c r="S8">
        <f>0</f>
        <v/>
      </c>
      <c r="T8">
        <f>S8*Hypothèses!$B$17</f>
        <v/>
      </c>
      <c r="U8">
        <f>Q8*Hypothèses!$B$5</f>
        <v/>
      </c>
      <c r="V8">
        <f>Q8-R8-T8-U8</f>
        <v/>
      </c>
      <c r="W8">
        <f>W7+V8</f>
        <v/>
      </c>
    </row>
    <row r="9">
      <c r="A9" t="n">
        <v>6</v>
      </c>
      <c r="B9">
        <f>INT((A9-1)/12)+1</f>
        <v/>
      </c>
      <c r="C9">
        <f>ROUND(IF(MOD($A9,12)=0,G9,(IF(9=4,0,C8))*(1-$K9)+IF((IF(9=4,0,C8))*(1-$K9)&lt;G9,(G9-(IF(9=4,0,C8))*(1-$K9))*Hypothèses!$B$10,0)),1)</f>
        <v/>
      </c>
      <c r="D9">
        <f>ROUND(IF(MOD($A9,12)=0,H9,(IF(9=4,0,D8))*(1-$K9)+IF((IF(9=4,0,D8))*(1-$K9)&lt;H9,(H9-(IF(9=4,0,D8))*(1-$K9))*Hypothèses!$B$10,0)),1)</f>
        <v/>
      </c>
      <c r="E9">
        <f>ROUND(IF(MOD($A9,12)=0,I9,(IF(9=4,0,E8))*(1-$K9)+IF((IF(9=4,0,E8))*(1-$K9)&lt;I9,(I9-(IF(9=4,0,E8))*(1-$K9))*Hypothèses!$B$10,0)),1)</f>
        <v/>
      </c>
      <c r="F9">
        <f>ROUND(IF(MOD($A9,12)=0,J9,(IF(9=4,0,F8))*(1-$K9)+IF((IF(9=4,0,F8))*(1-$K9)&lt;J9,(J9-(IF(9=4,0,F8))*(1-$K9))*Hypothèses!$B$10,0)),1)</f>
        <v/>
      </c>
      <c r="G9">
        <f>(IF(B9=1,0,IF(B9=2,Hypothèses!$B$26,IF(B9=3,Hypothèses!$C$26,Hypothèses!$D$26)))+(IF(B9=1,Hypothèses!$B$26,IF(B9=2,Hypothèses!$C$26,IF(B9=3,Hypothèses!$D$26,Hypothèses!$D$26)))-(IF(B9=1,0,IF(B9=2,Hypothèses!$B$26,IF(B9=3,Hypothèses!$C$26,Hypothèses!$D$26)))))*((A9)-INT((A9-1)/12)*12)/12)*$B$1</f>
        <v/>
      </c>
      <c r="H9">
        <f>(IF(B9=1,0,IF(B9=2,Hypothèses!$B$27,IF(B9=3,Hypothèses!$C$27,Hypothèses!$D$27)))+(IF(B9=1,Hypothèses!$B$27,IF(B9=2,Hypothèses!$C$27,IF(B9=3,Hypothèses!$D$27,Hypothèses!$D$27)))-(IF(B9=1,0,IF(B9=2,Hypothèses!$B$27,IF(B9=3,Hypothèses!$C$27,Hypothèses!$D$27)))))*((A9)-INT((A9-1)/12)*12)/12)*$B$1</f>
        <v/>
      </c>
      <c r="I9">
        <f>(IF(B9=1,0,IF(B9=2,Hypothèses!$B$28,IF(B9=3,Hypothèses!$C$28,Hypothèses!$D$28)))+(IF(B9=1,Hypothèses!$B$28,IF(B9=2,Hypothèses!$C$28,IF(B9=3,Hypothèses!$D$28,Hypothèses!$D$28)))-(IF(B9=1,0,IF(B9=2,Hypothèses!$B$28,IF(B9=3,Hypothèses!$C$28,Hypothèses!$D$28)))))*((A9)-INT((A9-1)/12)*12)/12)*$B$1</f>
        <v/>
      </c>
      <c r="J9">
        <f>(IF(B9=1,0,IF(B9=2,Hypothèses!$B$29,IF(B9=3,Hypothèses!$C$29,Hypothèses!$D$29)))+(IF(B9=1,Hypothèses!$B$29,IF(B9=2,Hypothèses!$C$29,IF(B9=3,Hypothèses!$D$29,Hypothèses!$D$29)))-(IF(B9=1,0,IF(B9=2,Hypothèses!$B$29,IF(B9=3,Hypothèses!$C$29,Hypothèses!$D$29)))))*((A9)-INT((A9-1)/12)*12)/12)*$B$1</f>
        <v/>
      </c>
      <c r="K9">
        <f>IF(A9&lt;Hypothèses!$B$7,0,Hypothèses!$B$8*(1-Hypothèses!$B$9)^(A9-Hypothèses!$B$7))</f>
        <v/>
      </c>
      <c r="L9">
        <f>C9+D9+E9+F9</f>
        <v/>
      </c>
      <c r="M9">
        <f>(C9*Hypothèses!$B$11+D9*Hypothèses!$B$12+E9*Hypothèses!$B$13+F9*Hypothèses!$B$14)*(IF(B9=1,Hypothèses!$B$20,IF(B9=2,Hypothèses!$B$21,Hypothèses!$B$22))+(1-(IF(B9=1,Hypothèses!$B$20,IF(B9=2,Hypothèses!$B$21,Hypothèses!$B$22))))*11/12)</f>
        <v/>
      </c>
      <c r="N9">
        <f>L9*IF(B9=1,Hypothèses!$C$20,IF(B9=2,Hypothèses!$C$21,Hypothèses!$C$22))*IF(B9=1,Hypothèses!$D$20,IF(B9=2,Hypothèses!$D$21,Hypothèses!$D$22))</f>
        <v/>
      </c>
      <c r="O9">
        <f>IF(A9=18,IF($B$2&gt;=1,Hypothèses!$B$33,0),IF(AND(OR(A9=30,A9=34),$D$2&gt;=1),Hypothèses!$B$34*MIN(1,$D$2/3),0))</f>
        <v/>
      </c>
      <c r="P9">
        <f>M9+N9+O9</f>
        <v/>
      </c>
      <c r="Q9">
        <f>P9/(1+Hypothèses!$B$6)</f>
        <v/>
      </c>
      <c r="R9">
        <f>Hypothèses!$B$3*(1+Hypothèses!$B$4)^INT((A9-1)/3)</f>
        <v/>
      </c>
      <c r="S9">
        <f>0</f>
        <v/>
      </c>
      <c r="T9">
        <f>S9*Hypothèses!$B$17</f>
        <v/>
      </c>
      <c r="U9">
        <f>Q9*Hypothèses!$B$5</f>
        <v/>
      </c>
      <c r="V9">
        <f>Q9-R9-T9-U9</f>
        <v/>
      </c>
      <c r="W9">
        <f>W8+V9</f>
        <v/>
      </c>
    </row>
    <row r="10">
      <c r="A10" t="n">
        <v>7</v>
      </c>
      <c r="B10">
        <f>INT((A10-1)/12)+1</f>
        <v/>
      </c>
      <c r="C10">
        <f>ROUND(IF(MOD($A10,12)=0,G10,(IF(10=4,0,C9))*(1-$K10)+IF((IF(10=4,0,C9))*(1-$K10)&lt;G10,(G10-(IF(10=4,0,C9))*(1-$K10))*Hypothèses!$B$10,0)),1)</f>
        <v/>
      </c>
      <c r="D10">
        <f>ROUND(IF(MOD($A10,12)=0,H10,(IF(10=4,0,D9))*(1-$K10)+IF((IF(10=4,0,D9))*(1-$K10)&lt;H10,(H10-(IF(10=4,0,D9))*(1-$K10))*Hypothèses!$B$10,0)),1)</f>
        <v/>
      </c>
      <c r="E10">
        <f>ROUND(IF(MOD($A10,12)=0,I10,(IF(10=4,0,E9))*(1-$K10)+IF((IF(10=4,0,E9))*(1-$K10)&lt;I10,(I10-(IF(10=4,0,E9))*(1-$K10))*Hypothèses!$B$10,0)),1)</f>
        <v/>
      </c>
      <c r="F10">
        <f>ROUND(IF(MOD($A10,12)=0,J10,(IF(10=4,0,F9))*(1-$K10)+IF((IF(10=4,0,F9))*(1-$K10)&lt;J10,(J10-(IF(10=4,0,F9))*(1-$K10))*Hypothèses!$B$10,0)),1)</f>
        <v/>
      </c>
      <c r="G10">
        <f>(IF(B10=1,0,IF(B10=2,Hypothèses!$B$26,IF(B10=3,Hypothèses!$C$26,Hypothèses!$D$26)))+(IF(B10=1,Hypothèses!$B$26,IF(B10=2,Hypothèses!$C$26,IF(B10=3,Hypothèses!$D$26,Hypothèses!$D$26)))-(IF(B10=1,0,IF(B10=2,Hypothèses!$B$26,IF(B10=3,Hypothèses!$C$26,Hypothèses!$D$26)))))*((A10)-INT((A10-1)/12)*12)/12)*$B$1</f>
        <v/>
      </c>
      <c r="H10">
        <f>(IF(B10=1,0,IF(B10=2,Hypothèses!$B$27,IF(B10=3,Hypothèses!$C$27,Hypothèses!$D$27)))+(IF(B10=1,Hypothèses!$B$27,IF(B10=2,Hypothèses!$C$27,IF(B10=3,Hypothèses!$D$27,Hypothèses!$D$27)))-(IF(B10=1,0,IF(B10=2,Hypothèses!$B$27,IF(B10=3,Hypothèses!$C$27,Hypothèses!$D$27)))))*((A10)-INT((A10-1)/12)*12)/12)*$B$1</f>
        <v/>
      </c>
      <c r="I10">
        <f>(IF(B10=1,0,IF(B10=2,Hypothèses!$B$28,IF(B10=3,Hypothèses!$C$28,Hypothèses!$D$28)))+(IF(B10=1,Hypothèses!$B$28,IF(B10=2,Hypothèses!$C$28,IF(B10=3,Hypothèses!$D$28,Hypothèses!$D$28)))-(IF(B10=1,0,IF(B10=2,Hypothèses!$B$28,IF(B10=3,Hypothèses!$C$28,Hypothèses!$D$28)))))*((A10)-INT((A10-1)/12)*12)/12)*$B$1</f>
        <v/>
      </c>
      <c r="J10">
        <f>(IF(B10=1,0,IF(B10=2,Hypothèses!$B$29,IF(B10=3,Hypothèses!$C$29,Hypothèses!$D$29)))+(IF(B10=1,Hypothèses!$B$29,IF(B10=2,Hypothèses!$C$29,IF(B10=3,Hypothèses!$D$29,Hypothèses!$D$29)))-(IF(B10=1,0,IF(B10=2,Hypothèses!$B$29,IF(B10=3,Hypothèses!$C$29,Hypothèses!$D$29)))))*((A10)-INT((A10-1)/12)*12)/12)*$B$1</f>
        <v/>
      </c>
      <c r="K10">
        <f>IF(A10&lt;Hypothèses!$B$7,0,Hypothèses!$B$8*(1-Hypothèses!$B$9)^(A10-Hypothèses!$B$7))</f>
        <v/>
      </c>
      <c r="L10">
        <f>C10+D10+E10+F10</f>
        <v/>
      </c>
      <c r="M10">
        <f>(C10*Hypothèses!$B$11+D10*Hypothèses!$B$12+E10*Hypothèses!$B$13+F10*Hypothèses!$B$14)*(IF(B10=1,Hypothèses!$B$20,IF(B10=2,Hypothèses!$B$21,Hypothèses!$B$22))+(1-(IF(B10=1,Hypothèses!$B$20,IF(B10=2,Hypothèses!$B$21,Hypothèses!$B$22))))*11/12)</f>
        <v/>
      </c>
      <c r="N10">
        <f>L10*IF(B10=1,Hypothèses!$C$20,IF(B10=2,Hypothèses!$C$21,Hypothèses!$C$22))*IF(B10=1,Hypothèses!$D$20,IF(B10=2,Hypothèses!$D$21,Hypothèses!$D$22))</f>
        <v/>
      </c>
      <c r="O10">
        <f>IF(A10=18,IF($B$2&gt;=1,Hypothèses!$B$33,0),IF(AND(OR(A10=30,A10=34),$D$2&gt;=1),Hypothèses!$B$34*MIN(1,$D$2/3),0))</f>
        <v/>
      </c>
      <c r="P10">
        <f>M10+N10+O10</f>
        <v/>
      </c>
      <c r="Q10">
        <f>P10/(1+Hypothèses!$B$6)</f>
        <v/>
      </c>
      <c r="R10">
        <f>Hypothèses!$B$3*(1+Hypothèses!$B$4)^INT((A10-1)/3)</f>
        <v/>
      </c>
      <c r="S10">
        <f>0</f>
        <v/>
      </c>
      <c r="T10">
        <f>S10*Hypothèses!$B$17</f>
        <v/>
      </c>
      <c r="U10">
        <f>Q10*Hypothèses!$B$5</f>
        <v/>
      </c>
      <c r="V10">
        <f>Q10-R10-T10-U10</f>
        <v/>
      </c>
      <c r="W10">
        <f>W9+V10</f>
        <v/>
      </c>
    </row>
    <row r="11">
      <c r="A11" t="n">
        <v>8</v>
      </c>
      <c r="B11">
        <f>INT((A11-1)/12)+1</f>
        <v/>
      </c>
      <c r="C11">
        <f>ROUND(IF(MOD($A11,12)=0,G11,(IF(11=4,0,C10))*(1-$K11)+IF((IF(11=4,0,C10))*(1-$K11)&lt;G11,(G11-(IF(11=4,0,C10))*(1-$K11))*Hypothèses!$B$10,0)),1)</f>
        <v/>
      </c>
      <c r="D11">
        <f>ROUND(IF(MOD($A11,12)=0,H11,(IF(11=4,0,D10))*(1-$K11)+IF((IF(11=4,0,D10))*(1-$K11)&lt;H11,(H11-(IF(11=4,0,D10))*(1-$K11))*Hypothèses!$B$10,0)),1)</f>
        <v/>
      </c>
      <c r="E11">
        <f>ROUND(IF(MOD($A11,12)=0,I11,(IF(11=4,0,E10))*(1-$K11)+IF((IF(11=4,0,E10))*(1-$K11)&lt;I11,(I11-(IF(11=4,0,E10))*(1-$K11))*Hypothèses!$B$10,0)),1)</f>
        <v/>
      </c>
      <c r="F11">
        <f>ROUND(IF(MOD($A11,12)=0,J11,(IF(11=4,0,F10))*(1-$K11)+IF((IF(11=4,0,F10))*(1-$K11)&lt;J11,(J11-(IF(11=4,0,F10))*(1-$K11))*Hypothèses!$B$10,0)),1)</f>
        <v/>
      </c>
      <c r="G11">
        <f>(IF(B11=1,0,IF(B11=2,Hypothèses!$B$26,IF(B11=3,Hypothèses!$C$26,Hypothèses!$D$26)))+(IF(B11=1,Hypothèses!$B$26,IF(B11=2,Hypothèses!$C$26,IF(B11=3,Hypothèses!$D$26,Hypothèses!$D$26)))-(IF(B11=1,0,IF(B11=2,Hypothèses!$B$26,IF(B11=3,Hypothèses!$C$26,Hypothèses!$D$26)))))*((A11)-INT((A11-1)/12)*12)/12)*$B$1</f>
        <v/>
      </c>
      <c r="H11">
        <f>(IF(B11=1,0,IF(B11=2,Hypothèses!$B$27,IF(B11=3,Hypothèses!$C$27,Hypothèses!$D$27)))+(IF(B11=1,Hypothèses!$B$27,IF(B11=2,Hypothèses!$C$27,IF(B11=3,Hypothèses!$D$27,Hypothèses!$D$27)))-(IF(B11=1,0,IF(B11=2,Hypothèses!$B$27,IF(B11=3,Hypothèses!$C$27,Hypothèses!$D$27)))))*((A11)-INT((A11-1)/12)*12)/12)*$B$1</f>
        <v/>
      </c>
      <c r="I11">
        <f>(IF(B11=1,0,IF(B11=2,Hypothèses!$B$28,IF(B11=3,Hypothèses!$C$28,Hypothèses!$D$28)))+(IF(B11=1,Hypothèses!$B$28,IF(B11=2,Hypothèses!$C$28,IF(B11=3,Hypothèses!$D$28,Hypothèses!$D$28)))-(IF(B11=1,0,IF(B11=2,Hypothèses!$B$28,IF(B11=3,Hypothèses!$C$28,Hypothèses!$D$28)))))*((A11)-INT((A11-1)/12)*12)/12)*$B$1</f>
        <v/>
      </c>
      <c r="J11">
        <f>(IF(B11=1,0,IF(B11=2,Hypothèses!$B$29,IF(B11=3,Hypothèses!$C$29,Hypothèses!$D$29)))+(IF(B11=1,Hypothèses!$B$29,IF(B11=2,Hypothèses!$C$29,IF(B11=3,Hypothèses!$D$29,Hypothèses!$D$29)))-(IF(B11=1,0,IF(B11=2,Hypothèses!$B$29,IF(B11=3,Hypothèses!$C$29,Hypothèses!$D$29)))))*((A11)-INT((A11-1)/12)*12)/12)*$B$1</f>
        <v/>
      </c>
      <c r="K11">
        <f>IF(A11&lt;Hypothèses!$B$7,0,Hypothèses!$B$8*(1-Hypothèses!$B$9)^(A11-Hypothèses!$B$7))</f>
        <v/>
      </c>
      <c r="L11">
        <f>C11+D11+E11+F11</f>
        <v/>
      </c>
      <c r="M11">
        <f>(C11*Hypothèses!$B$11+D11*Hypothèses!$B$12+E11*Hypothèses!$B$13+F11*Hypothèses!$B$14)*(IF(B11=1,Hypothèses!$B$20,IF(B11=2,Hypothèses!$B$21,Hypothèses!$B$22))+(1-(IF(B11=1,Hypothèses!$B$20,IF(B11=2,Hypothèses!$B$21,Hypothèses!$B$22))))*11/12)</f>
        <v/>
      </c>
      <c r="N11">
        <f>L11*IF(B11=1,Hypothèses!$C$20,IF(B11=2,Hypothèses!$C$21,Hypothèses!$C$22))*IF(B11=1,Hypothèses!$D$20,IF(B11=2,Hypothèses!$D$21,Hypothèses!$D$22))</f>
        <v/>
      </c>
      <c r="O11">
        <f>IF(A11=18,IF($B$2&gt;=1,Hypothèses!$B$33,0),IF(AND(OR(A11=30,A11=34),$D$2&gt;=1),Hypothèses!$B$34*MIN(1,$D$2/3),0))</f>
        <v/>
      </c>
      <c r="P11">
        <f>M11+N11+O11</f>
        <v/>
      </c>
      <c r="Q11">
        <f>P11/(1+Hypothèses!$B$6)</f>
        <v/>
      </c>
      <c r="R11">
        <f>Hypothèses!$B$3*(1+Hypothèses!$B$4)^INT((A11-1)/3)</f>
        <v/>
      </c>
      <c r="S11">
        <f>0</f>
        <v/>
      </c>
      <c r="T11">
        <f>S11*Hypothèses!$B$17</f>
        <v/>
      </c>
      <c r="U11">
        <f>Q11*Hypothèses!$B$5</f>
        <v/>
      </c>
      <c r="V11">
        <f>Q11-R11-T11-U11</f>
        <v/>
      </c>
      <c r="W11">
        <f>W10+V11</f>
        <v/>
      </c>
    </row>
    <row r="12">
      <c r="A12" t="n">
        <v>9</v>
      </c>
      <c r="B12">
        <f>INT((A12-1)/12)+1</f>
        <v/>
      </c>
      <c r="C12">
        <f>ROUND(IF(MOD($A12,12)=0,G12,(IF(12=4,0,C11))*(1-$K12)+IF((IF(12=4,0,C11))*(1-$K12)&lt;G12,(G12-(IF(12=4,0,C11))*(1-$K12))*Hypothèses!$B$10,0)),1)</f>
        <v/>
      </c>
      <c r="D12">
        <f>ROUND(IF(MOD($A12,12)=0,H12,(IF(12=4,0,D11))*(1-$K12)+IF((IF(12=4,0,D11))*(1-$K12)&lt;H12,(H12-(IF(12=4,0,D11))*(1-$K12))*Hypothèses!$B$10,0)),1)</f>
        <v/>
      </c>
      <c r="E12">
        <f>ROUND(IF(MOD($A12,12)=0,I12,(IF(12=4,0,E11))*(1-$K12)+IF((IF(12=4,0,E11))*(1-$K12)&lt;I12,(I12-(IF(12=4,0,E11))*(1-$K12))*Hypothèses!$B$10,0)),1)</f>
        <v/>
      </c>
      <c r="F12">
        <f>ROUND(IF(MOD($A12,12)=0,J12,(IF(12=4,0,F11))*(1-$K12)+IF((IF(12=4,0,F11))*(1-$K12)&lt;J12,(J12-(IF(12=4,0,F11))*(1-$K12))*Hypothèses!$B$10,0)),1)</f>
        <v/>
      </c>
      <c r="G12">
        <f>(IF(B12=1,0,IF(B12=2,Hypothèses!$B$26,IF(B12=3,Hypothèses!$C$26,Hypothèses!$D$26)))+(IF(B12=1,Hypothèses!$B$26,IF(B12=2,Hypothèses!$C$26,IF(B12=3,Hypothèses!$D$26,Hypothèses!$D$26)))-(IF(B12=1,0,IF(B12=2,Hypothèses!$B$26,IF(B12=3,Hypothèses!$C$26,Hypothèses!$D$26)))))*((A12)-INT((A12-1)/12)*12)/12)*$B$1</f>
        <v/>
      </c>
      <c r="H12">
        <f>(IF(B12=1,0,IF(B12=2,Hypothèses!$B$27,IF(B12=3,Hypothèses!$C$27,Hypothèses!$D$27)))+(IF(B12=1,Hypothèses!$B$27,IF(B12=2,Hypothèses!$C$27,IF(B12=3,Hypothèses!$D$27,Hypothèses!$D$27)))-(IF(B12=1,0,IF(B12=2,Hypothèses!$B$27,IF(B12=3,Hypothèses!$C$27,Hypothèses!$D$27)))))*((A12)-INT((A12-1)/12)*12)/12)*$B$1</f>
        <v/>
      </c>
      <c r="I12">
        <f>(IF(B12=1,0,IF(B12=2,Hypothèses!$B$28,IF(B12=3,Hypothèses!$C$28,Hypothèses!$D$28)))+(IF(B12=1,Hypothèses!$B$28,IF(B12=2,Hypothèses!$C$28,IF(B12=3,Hypothèses!$D$28,Hypothèses!$D$28)))-(IF(B12=1,0,IF(B12=2,Hypothèses!$B$28,IF(B12=3,Hypothèses!$C$28,Hypothèses!$D$28)))))*((A12)-INT((A12-1)/12)*12)/12)*$B$1</f>
        <v/>
      </c>
      <c r="J12">
        <f>(IF(B12=1,0,IF(B12=2,Hypothèses!$B$29,IF(B12=3,Hypothèses!$C$29,Hypothèses!$D$29)))+(IF(B12=1,Hypothèses!$B$29,IF(B12=2,Hypothèses!$C$29,IF(B12=3,Hypothèses!$D$29,Hypothèses!$D$29)))-(IF(B12=1,0,IF(B12=2,Hypothèses!$B$29,IF(B12=3,Hypothèses!$C$29,Hypothèses!$D$29)))))*((A12)-INT((A12-1)/12)*12)/12)*$B$1</f>
        <v/>
      </c>
      <c r="K12">
        <f>IF(A12&lt;Hypothèses!$B$7,0,Hypothèses!$B$8*(1-Hypothèses!$B$9)^(A12-Hypothèses!$B$7))</f>
        <v/>
      </c>
      <c r="L12">
        <f>C12+D12+E12+F12</f>
        <v/>
      </c>
      <c r="M12">
        <f>(C12*Hypothèses!$B$11+D12*Hypothèses!$B$12+E12*Hypothèses!$B$13+F12*Hypothèses!$B$14)*(IF(B12=1,Hypothèses!$B$20,IF(B12=2,Hypothèses!$B$21,Hypothèses!$B$22))+(1-(IF(B12=1,Hypothèses!$B$20,IF(B12=2,Hypothèses!$B$21,Hypothèses!$B$22))))*11/12)</f>
        <v/>
      </c>
      <c r="N12">
        <f>L12*IF(B12=1,Hypothèses!$C$20,IF(B12=2,Hypothèses!$C$21,Hypothèses!$C$22))*IF(B12=1,Hypothèses!$D$20,IF(B12=2,Hypothèses!$D$21,Hypothèses!$D$22))</f>
        <v/>
      </c>
      <c r="O12">
        <f>IF(A12=18,IF($B$2&gt;=1,Hypothèses!$B$33,0),IF(AND(OR(A12=30,A12=34),$D$2&gt;=1),Hypothèses!$B$34*MIN(1,$D$2/3),0))</f>
        <v/>
      </c>
      <c r="P12">
        <f>M12+N12+O12</f>
        <v/>
      </c>
      <c r="Q12">
        <f>P12/(1+Hypothèses!$B$6)</f>
        <v/>
      </c>
      <c r="R12">
        <f>Hypothèses!$B$3*(1+Hypothèses!$B$4)^INT((A12-1)/3)</f>
        <v/>
      </c>
      <c r="S12">
        <f>0</f>
        <v/>
      </c>
      <c r="T12">
        <f>S12*Hypothèses!$B$17</f>
        <v/>
      </c>
      <c r="U12">
        <f>Q12*Hypothèses!$B$5</f>
        <v/>
      </c>
      <c r="V12">
        <f>Q12-R12-T12-U12</f>
        <v/>
      </c>
      <c r="W12">
        <f>W11+V12</f>
        <v/>
      </c>
    </row>
    <row r="13">
      <c r="A13" t="n">
        <v>10</v>
      </c>
      <c r="B13">
        <f>INT((A13-1)/12)+1</f>
        <v/>
      </c>
      <c r="C13">
        <f>ROUND(IF(MOD($A13,12)=0,G13,(IF(13=4,0,C12))*(1-$K13)+IF((IF(13=4,0,C12))*(1-$K13)&lt;G13,(G13-(IF(13=4,0,C12))*(1-$K13))*Hypothèses!$B$10,0)),1)</f>
        <v/>
      </c>
      <c r="D13">
        <f>ROUND(IF(MOD($A13,12)=0,H13,(IF(13=4,0,D12))*(1-$K13)+IF((IF(13=4,0,D12))*(1-$K13)&lt;H13,(H13-(IF(13=4,0,D12))*(1-$K13))*Hypothèses!$B$10,0)),1)</f>
        <v/>
      </c>
      <c r="E13">
        <f>ROUND(IF(MOD($A13,12)=0,I13,(IF(13=4,0,E12))*(1-$K13)+IF((IF(13=4,0,E12))*(1-$K13)&lt;I13,(I13-(IF(13=4,0,E12))*(1-$K13))*Hypothèses!$B$10,0)),1)</f>
        <v/>
      </c>
      <c r="F13">
        <f>ROUND(IF(MOD($A13,12)=0,J13,(IF(13=4,0,F12))*(1-$K13)+IF((IF(13=4,0,F12))*(1-$K13)&lt;J13,(J13-(IF(13=4,0,F12))*(1-$K13))*Hypothèses!$B$10,0)),1)</f>
        <v/>
      </c>
      <c r="G13">
        <f>(IF(B13=1,0,IF(B13=2,Hypothèses!$B$26,IF(B13=3,Hypothèses!$C$26,Hypothèses!$D$26)))+(IF(B13=1,Hypothèses!$B$26,IF(B13=2,Hypothèses!$C$26,IF(B13=3,Hypothèses!$D$26,Hypothèses!$D$26)))-(IF(B13=1,0,IF(B13=2,Hypothèses!$B$26,IF(B13=3,Hypothèses!$C$26,Hypothèses!$D$26)))))*((A13)-INT((A13-1)/12)*12)/12)*$B$1</f>
        <v/>
      </c>
      <c r="H13">
        <f>(IF(B13=1,0,IF(B13=2,Hypothèses!$B$27,IF(B13=3,Hypothèses!$C$27,Hypothèses!$D$27)))+(IF(B13=1,Hypothèses!$B$27,IF(B13=2,Hypothèses!$C$27,IF(B13=3,Hypothèses!$D$27,Hypothèses!$D$27)))-(IF(B13=1,0,IF(B13=2,Hypothèses!$B$27,IF(B13=3,Hypothèses!$C$27,Hypothèses!$D$27)))))*((A13)-INT((A13-1)/12)*12)/12)*$B$1</f>
        <v/>
      </c>
      <c r="I13">
        <f>(IF(B13=1,0,IF(B13=2,Hypothèses!$B$28,IF(B13=3,Hypothèses!$C$28,Hypothèses!$D$28)))+(IF(B13=1,Hypothèses!$B$28,IF(B13=2,Hypothèses!$C$28,IF(B13=3,Hypothèses!$D$28,Hypothèses!$D$28)))-(IF(B13=1,0,IF(B13=2,Hypothèses!$B$28,IF(B13=3,Hypothèses!$C$28,Hypothèses!$D$28)))))*((A13)-INT((A13-1)/12)*12)/12)*$B$1</f>
        <v/>
      </c>
      <c r="J13">
        <f>(IF(B13=1,0,IF(B13=2,Hypothèses!$B$29,IF(B13=3,Hypothèses!$C$29,Hypothèses!$D$29)))+(IF(B13=1,Hypothèses!$B$29,IF(B13=2,Hypothèses!$C$29,IF(B13=3,Hypothèses!$D$29,Hypothèses!$D$29)))-(IF(B13=1,0,IF(B13=2,Hypothèses!$B$29,IF(B13=3,Hypothèses!$C$29,Hypothèses!$D$29)))))*((A13)-INT((A13-1)/12)*12)/12)*$B$1</f>
        <v/>
      </c>
      <c r="K13">
        <f>IF(A13&lt;Hypothèses!$B$7,0,Hypothèses!$B$8*(1-Hypothèses!$B$9)^(A13-Hypothèses!$B$7))</f>
        <v/>
      </c>
      <c r="L13">
        <f>C13+D13+E13+F13</f>
        <v/>
      </c>
      <c r="M13">
        <f>(C13*Hypothèses!$B$11+D13*Hypothèses!$B$12+E13*Hypothèses!$B$13+F13*Hypothèses!$B$14)*(IF(B13=1,Hypothèses!$B$20,IF(B13=2,Hypothèses!$B$21,Hypothèses!$B$22))+(1-(IF(B13=1,Hypothèses!$B$20,IF(B13=2,Hypothèses!$B$21,Hypothèses!$B$22))))*11/12)</f>
        <v/>
      </c>
      <c r="N13">
        <f>L13*IF(B13=1,Hypothèses!$C$20,IF(B13=2,Hypothèses!$C$21,Hypothèses!$C$22))*IF(B13=1,Hypothèses!$D$20,IF(B13=2,Hypothèses!$D$21,Hypothèses!$D$22))</f>
        <v/>
      </c>
      <c r="O13">
        <f>IF(A13=18,IF($B$2&gt;=1,Hypothèses!$B$33,0),IF(AND(OR(A13=30,A13=34),$D$2&gt;=1),Hypothèses!$B$34*MIN(1,$D$2/3),0))</f>
        <v/>
      </c>
      <c r="P13">
        <f>M13+N13+O13</f>
        <v/>
      </c>
      <c r="Q13">
        <f>P13/(1+Hypothèses!$B$6)</f>
        <v/>
      </c>
      <c r="R13">
        <f>Hypothèses!$B$3*(1+Hypothèses!$B$4)^INT((A13-1)/3)</f>
        <v/>
      </c>
      <c r="S13">
        <f>0</f>
        <v/>
      </c>
      <c r="T13">
        <f>S13*Hypothèses!$B$17</f>
        <v/>
      </c>
      <c r="U13">
        <f>Q13*Hypothèses!$B$5</f>
        <v/>
      </c>
      <c r="V13">
        <f>Q13-R13-T13-U13</f>
        <v/>
      </c>
      <c r="W13">
        <f>W12+V13</f>
        <v/>
      </c>
    </row>
    <row r="14">
      <c r="A14" t="n">
        <v>11</v>
      </c>
      <c r="B14">
        <f>INT((A14-1)/12)+1</f>
        <v/>
      </c>
      <c r="C14">
        <f>ROUND(IF(MOD($A14,12)=0,G14,(IF(14=4,0,C13))*(1-$K14)+IF((IF(14=4,0,C13))*(1-$K14)&lt;G14,(G14-(IF(14=4,0,C13))*(1-$K14))*Hypothèses!$B$10,0)),1)</f>
        <v/>
      </c>
      <c r="D14">
        <f>ROUND(IF(MOD($A14,12)=0,H14,(IF(14=4,0,D13))*(1-$K14)+IF((IF(14=4,0,D13))*(1-$K14)&lt;H14,(H14-(IF(14=4,0,D13))*(1-$K14))*Hypothèses!$B$10,0)),1)</f>
        <v/>
      </c>
      <c r="E14">
        <f>ROUND(IF(MOD($A14,12)=0,I14,(IF(14=4,0,E13))*(1-$K14)+IF((IF(14=4,0,E13))*(1-$K14)&lt;I14,(I14-(IF(14=4,0,E13))*(1-$K14))*Hypothèses!$B$10,0)),1)</f>
        <v/>
      </c>
      <c r="F14">
        <f>ROUND(IF(MOD($A14,12)=0,J14,(IF(14=4,0,F13))*(1-$K14)+IF((IF(14=4,0,F13))*(1-$K14)&lt;J14,(J14-(IF(14=4,0,F13))*(1-$K14))*Hypothèses!$B$10,0)),1)</f>
        <v/>
      </c>
      <c r="G14">
        <f>(IF(B14=1,0,IF(B14=2,Hypothèses!$B$26,IF(B14=3,Hypothèses!$C$26,Hypothèses!$D$26)))+(IF(B14=1,Hypothèses!$B$26,IF(B14=2,Hypothèses!$C$26,IF(B14=3,Hypothèses!$D$26,Hypothèses!$D$26)))-(IF(B14=1,0,IF(B14=2,Hypothèses!$B$26,IF(B14=3,Hypothèses!$C$26,Hypothèses!$D$26)))))*((A14)-INT((A14-1)/12)*12)/12)*$B$1</f>
        <v/>
      </c>
      <c r="H14">
        <f>(IF(B14=1,0,IF(B14=2,Hypothèses!$B$27,IF(B14=3,Hypothèses!$C$27,Hypothèses!$D$27)))+(IF(B14=1,Hypothèses!$B$27,IF(B14=2,Hypothèses!$C$27,IF(B14=3,Hypothèses!$D$27,Hypothèses!$D$27)))-(IF(B14=1,0,IF(B14=2,Hypothèses!$B$27,IF(B14=3,Hypothèses!$C$27,Hypothèses!$D$27)))))*((A14)-INT((A14-1)/12)*12)/12)*$B$1</f>
        <v/>
      </c>
      <c r="I14">
        <f>(IF(B14=1,0,IF(B14=2,Hypothèses!$B$28,IF(B14=3,Hypothèses!$C$28,Hypothèses!$D$28)))+(IF(B14=1,Hypothèses!$B$28,IF(B14=2,Hypothèses!$C$28,IF(B14=3,Hypothèses!$D$28,Hypothèses!$D$28)))-(IF(B14=1,0,IF(B14=2,Hypothèses!$B$28,IF(B14=3,Hypothèses!$C$28,Hypothèses!$D$28)))))*((A14)-INT((A14-1)/12)*12)/12)*$B$1</f>
        <v/>
      </c>
      <c r="J14">
        <f>(IF(B14=1,0,IF(B14=2,Hypothèses!$B$29,IF(B14=3,Hypothèses!$C$29,Hypothèses!$D$29)))+(IF(B14=1,Hypothèses!$B$29,IF(B14=2,Hypothèses!$C$29,IF(B14=3,Hypothèses!$D$29,Hypothèses!$D$29)))-(IF(B14=1,0,IF(B14=2,Hypothèses!$B$29,IF(B14=3,Hypothèses!$C$29,Hypothèses!$D$29)))))*((A14)-INT((A14-1)/12)*12)/12)*$B$1</f>
        <v/>
      </c>
      <c r="K14">
        <f>IF(A14&lt;Hypothèses!$B$7,0,Hypothèses!$B$8*(1-Hypothèses!$B$9)^(A14-Hypothèses!$B$7))</f>
        <v/>
      </c>
      <c r="L14">
        <f>C14+D14+E14+F14</f>
        <v/>
      </c>
      <c r="M14">
        <f>(C14*Hypothèses!$B$11+D14*Hypothèses!$B$12+E14*Hypothèses!$B$13+F14*Hypothèses!$B$14)*(IF(B14=1,Hypothèses!$B$20,IF(B14=2,Hypothèses!$B$21,Hypothèses!$B$22))+(1-(IF(B14=1,Hypothèses!$B$20,IF(B14=2,Hypothèses!$B$21,Hypothèses!$B$22))))*11/12)</f>
        <v/>
      </c>
      <c r="N14">
        <f>L14*IF(B14=1,Hypothèses!$C$20,IF(B14=2,Hypothèses!$C$21,Hypothèses!$C$22))*IF(B14=1,Hypothèses!$D$20,IF(B14=2,Hypothèses!$D$21,Hypothèses!$D$22))</f>
        <v/>
      </c>
      <c r="O14">
        <f>IF(A14=18,IF($B$2&gt;=1,Hypothèses!$B$33,0),IF(AND(OR(A14=30,A14=34),$D$2&gt;=1),Hypothèses!$B$34*MIN(1,$D$2/3),0))</f>
        <v/>
      </c>
      <c r="P14">
        <f>M14+N14+O14</f>
        <v/>
      </c>
      <c r="Q14">
        <f>P14/(1+Hypothèses!$B$6)</f>
        <v/>
      </c>
      <c r="R14">
        <f>Hypothèses!$B$3*(1+Hypothèses!$B$4)^INT((A14-1)/3)</f>
        <v/>
      </c>
      <c r="S14">
        <f>0</f>
        <v/>
      </c>
      <c r="T14">
        <f>S14*Hypothèses!$B$17</f>
        <v/>
      </c>
      <c r="U14">
        <f>Q14*Hypothèses!$B$5</f>
        <v/>
      </c>
      <c r="V14">
        <f>Q14-R14-T14-U14</f>
        <v/>
      </c>
      <c r="W14">
        <f>W13+V14</f>
        <v/>
      </c>
    </row>
    <row r="15">
      <c r="A15" t="n">
        <v>12</v>
      </c>
      <c r="B15">
        <f>INT((A15-1)/12)+1</f>
        <v/>
      </c>
      <c r="C15">
        <f>ROUND(IF(MOD($A15,12)=0,G15,(IF(15=4,0,C14))*(1-$K15)+IF((IF(15=4,0,C14))*(1-$K15)&lt;G15,(G15-(IF(15=4,0,C14))*(1-$K15))*Hypothèses!$B$10,0)),1)</f>
        <v/>
      </c>
      <c r="D15">
        <f>ROUND(IF(MOD($A15,12)=0,H15,(IF(15=4,0,D14))*(1-$K15)+IF((IF(15=4,0,D14))*(1-$K15)&lt;H15,(H15-(IF(15=4,0,D14))*(1-$K15))*Hypothèses!$B$10,0)),1)</f>
        <v/>
      </c>
      <c r="E15">
        <f>ROUND(IF(MOD($A15,12)=0,I15,(IF(15=4,0,E14))*(1-$K15)+IF((IF(15=4,0,E14))*(1-$K15)&lt;I15,(I15-(IF(15=4,0,E14))*(1-$K15))*Hypothèses!$B$10,0)),1)</f>
        <v/>
      </c>
      <c r="F15">
        <f>ROUND(IF(MOD($A15,12)=0,J15,(IF(15=4,0,F14))*(1-$K15)+IF((IF(15=4,0,F14))*(1-$K15)&lt;J15,(J15-(IF(15=4,0,F14))*(1-$K15))*Hypothèses!$B$10,0)),1)</f>
        <v/>
      </c>
      <c r="G15">
        <f>(IF(B15=1,0,IF(B15=2,Hypothèses!$B$26,IF(B15=3,Hypothèses!$C$26,Hypothèses!$D$26)))+(IF(B15=1,Hypothèses!$B$26,IF(B15=2,Hypothèses!$C$26,IF(B15=3,Hypothèses!$D$26,Hypothèses!$D$26)))-(IF(B15=1,0,IF(B15=2,Hypothèses!$B$26,IF(B15=3,Hypothèses!$C$26,Hypothèses!$D$26)))))*((A15)-INT((A15-1)/12)*12)/12)*$B$1</f>
        <v/>
      </c>
      <c r="H15">
        <f>(IF(B15=1,0,IF(B15=2,Hypothèses!$B$27,IF(B15=3,Hypothèses!$C$27,Hypothèses!$D$27)))+(IF(B15=1,Hypothèses!$B$27,IF(B15=2,Hypothèses!$C$27,IF(B15=3,Hypothèses!$D$27,Hypothèses!$D$27)))-(IF(B15=1,0,IF(B15=2,Hypothèses!$B$27,IF(B15=3,Hypothèses!$C$27,Hypothèses!$D$27)))))*((A15)-INT((A15-1)/12)*12)/12)*$B$1</f>
        <v/>
      </c>
      <c r="I15">
        <f>(IF(B15=1,0,IF(B15=2,Hypothèses!$B$28,IF(B15=3,Hypothèses!$C$28,Hypothèses!$D$28)))+(IF(B15=1,Hypothèses!$B$28,IF(B15=2,Hypothèses!$C$28,IF(B15=3,Hypothèses!$D$28,Hypothèses!$D$28)))-(IF(B15=1,0,IF(B15=2,Hypothèses!$B$28,IF(B15=3,Hypothèses!$C$28,Hypothèses!$D$28)))))*((A15)-INT((A15-1)/12)*12)/12)*$B$1</f>
        <v/>
      </c>
      <c r="J15">
        <f>(IF(B15=1,0,IF(B15=2,Hypothèses!$B$29,IF(B15=3,Hypothèses!$C$29,Hypothèses!$D$29)))+(IF(B15=1,Hypothèses!$B$29,IF(B15=2,Hypothèses!$C$29,IF(B15=3,Hypothèses!$D$29,Hypothèses!$D$29)))-(IF(B15=1,0,IF(B15=2,Hypothèses!$B$29,IF(B15=3,Hypothèses!$C$29,Hypothèses!$D$29)))))*((A15)-INT((A15-1)/12)*12)/12)*$B$1</f>
        <v/>
      </c>
      <c r="K15">
        <f>IF(A15&lt;Hypothèses!$B$7,0,Hypothèses!$B$8*(1-Hypothèses!$B$9)^(A15-Hypothèses!$B$7))</f>
        <v/>
      </c>
      <c r="L15">
        <f>C15+D15+E15+F15</f>
        <v/>
      </c>
      <c r="M15">
        <f>(C15*Hypothèses!$B$11+D15*Hypothèses!$B$12+E15*Hypothèses!$B$13+F15*Hypothèses!$B$14)*(IF(B15=1,Hypothèses!$B$20,IF(B15=2,Hypothèses!$B$21,Hypothèses!$B$22))+(1-(IF(B15=1,Hypothèses!$B$20,IF(B15=2,Hypothèses!$B$21,Hypothèses!$B$22))))*11/12)</f>
        <v/>
      </c>
      <c r="N15">
        <f>L15*IF(B15=1,Hypothèses!$C$20,IF(B15=2,Hypothèses!$C$21,Hypothèses!$C$22))*IF(B15=1,Hypothèses!$D$20,IF(B15=2,Hypothèses!$D$21,Hypothèses!$D$22))</f>
        <v/>
      </c>
      <c r="O15">
        <f>IF(A15=18,IF($B$2&gt;=1,Hypothèses!$B$33,0),IF(AND(OR(A15=30,A15=34),$D$2&gt;=1),Hypothèses!$B$34*MIN(1,$D$2/3),0))</f>
        <v/>
      </c>
      <c r="P15">
        <f>M15+N15+O15</f>
        <v/>
      </c>
      <c r="Q15">
        <f>P15/(1+Hypothèses!$B$6)</f>
        <v/>
      </c>
      <c r="R15">
        <f>Hypothèses!$B$3*(1+Hypothèses!$B$4)^INT((A15-1)/3)</f>
        <v/>
      </c>
      <c r="S15">
        <f>0</f>
        <v/>
      </c>
      <c r="T15">
        <f>S15*Hypothèses!$B$17</f>
        <v/>
      </c>
      <c r="U15">
        <f>Q15*Hypothèses!$B$5</f>
        <v/>
      </c>
      <c r="V15">
        <f>Q15-R15-T15-U15</f>
        <v/>
      </c>
      <c r="W15">
        <f>W14+V15</f>
        <v/>
      </c>
    </row>
    <row r="16">
      <c r="A16" t="n">
        <v>13</v>
      </c>
      <c r="B16">
        <f>INT((A16-1)/12)+1</f>
        <v/>
      </c>
      <c r="C16">
        <f>ROUND(IF(MOD($A16,12)=0,G16,(IF(16=4,0,C15))*(1-$K16)+IF((IF(16=4,0,C15))*(1-$K16)&lt;G16,(G16-(IF(16=4,0,C15))*(1-$K16))*Hypothèses!$B$10,0)),1)</f>
        <v/>
      </c>
      <c r="D16">
        <f>ROUND(IF(MOD($A16,12)=0,H16,(IF(16=4,0,D15))*(1-$K16)+IF((IF(16=4,0,D15))*(1-$K16)&lt;H16,(H16-(IF(16=4,0,D15))*(1-$K16))*Hypothèses!$B$10,0)),1)</f>
        <v/>
      </c>
      <c r="E16">
        <f>ROUND(IF(MOD($A16,12)=0,I16,(IF(16=4,0,E15))*(1-$K16)+IF((IF(16=4,0,E15))*(1-$K16)&lt;I16,(I16-(IF(16=4,0,E15))*(1-$K16))*Hypothèses!$B$10,0)),1)</f>
        <v/>
      </c>
      <c r="F16">
        <f>ROUND(IF(MOD($A16,12)=0,J16,(IF(16=4,0,F15))*(1-$K16)+IF((IF(16=4,0,F15))*(1-$K16)&lt;J16,(J16-(IF(16=4,0,F15))*(1-$K16))*Hypothèses!$B$10,0)),1)</f>
        <v/>
      </c>
      <c r="G16">
        <f>(IF(B16=1,0,IF(B16=2,Hypothèses!$B$26,IF(B16=3,Hypothèses!$C$26,Hypothèses!$D$26)))+(IF(B16=1,Hypothèses!$B$26,IF(B16=2,Hypothèses!$C$26,IF(B16=3,Hypothèses!$D$26,Hypothèses!$D$26)))-(IF(B16=1,0,IF(B16=2,Hypothèses!$B$26,IF(B16=3,Hypothèses!$C$26,Hypothèses!$D$26)))))*((A16)-INT((A16-1)/12)*12)/12)*$B$1</f>
        <v/>
      </c>
      <c r="H16">
        <f>(IF(B16=1,0,IF(B16=2,Hypothèses!$B$27,IF(B16=3,Hypothèses!$C$27,Hypothèses!$D$27)))+(IF(B16=1,Hypothèses!$B$27,IF(B16=2,Hypothèses!$C$27,IF(B16=3,Hypothèses!$D$27,Hypothèses!$D$27)))-(IF(B16=1,0,IF(B16=2,Hypothèses!$B$27,IF(B16=3,Hypothèses!$C$27,Hypothèses!$D$27)))))*((A16)-INT((A16-1)/12)*12)/12)*$B$1</f>
        <v/>
      </c>
      <c r="I16">
        <f>(IF(B16=1,0,IF(B16=2,Hypothèses!$B$28,IF(B16=3,Hypothèses!$C$28,Hypothèses!$D$28)))+(IF(B16=1,Hypothèses!$B$28,IF(B16=2,Hypothèses!$C$28,IF(B16=3,Hypothèses!$D$28,Hypothèses!$D$28)))-(IF(B16=1,0,IF(B16=2,Hypothèses!$B$28,IF(B16=3,Hypothèses!$C$28,Hypothèses!$D$28)))))*((A16)-INT((A16-1)/12)*12)/12)*$B$1</f>
        <v/>
      </c>
      <c r="J16">
        <f>(IF(B16=1,0,IF(B16=2,Hypothèses!$B$29,IF(B16=3,Hypothèses!$C$29,Hypothèses!$D$29)))+(IF(B16=1,Hypothèses!$B$29,IF(B16=2,Hypothèses!$C$29,IF(B16=3,Hypothèses!$D$29,Hypothèses!$D$29)))-(IF(B16=1,0,IF(B16=2,Hypothèses!$B$29,IF(B16=3,Hypothèses!$C$29,Hypothèses!$D$29)))))*((A16)-INT((A16-1)/12)*12)/12)*$B$1</f>
        <v/>
      </c>
      <c r="K16">
        <f>IF(A16&lt;Hypothèses!$B$7,0,Hypothèses!$B$8*(1-Hypothèses!$B$9)^(A16-Hypothèses!$B$7))</f>
        <v/>
      </c>
      <c r="L16">
        <f>C16+D16+E16+F16</f>
        <v/>
      </c>
      <c r="M16">
        <f>(C16*Hypothèses!$B$11+D16*Hypothèses!$B$12+E16*Hypothèses!$B$13+F16*Hypothèses!$B$14)*(IF(B16=1,Hypothèses!$B$20,IF(B16=2,Hypothèses!$B$21,Hypothèses!$B$22))+(1-(IF(B16=1,Hypothèses!$B$20,IF(B16=2,Hypothèses!$B$21,Hypothèses!$B$22))))*11/12)</f>
        <v/>
      </c>
      <c r="N16">
        <f>L16*IF(B16=1,Hypothèses!$C$20,IF(B16=2,Hypothèses!$C$21,Hypothèses!$C$22))*IF(B16=1,Hypothèses!$D$20,IF(B16=2,Hypothèses!$D$21,Hypothèses!$D$22))</f>
        <v/>
      </c>
      <c r="O16">
        <f>IF(A16=18,IF($B$2&gt;=1,Hypothèses!$B$33,0),IF(AND(OR(A16=30,A16=34),$D$2&gt;=1),Hypothèses!$B$34*MIN(1,$D$2/3),0))</f>
        <v/>
      </c>
      <c r="P16">
        <f>M16+N16+O16</f>
        <v/>
      </c>
      <c r="Q16">
        <f>P16/(1+Hypothèses!$B$6)</f>
        <v/>
      </c>
      <c r="R16">
        <f>Hypothèses!$B$3*(1+Hypothèses!$B$4)^INT((A16-1)/3)</f>
        <v/>
      </c>
      <c r="S16">
        <f>0</f>
        <v/>
      </c>
      <c r="T16">
        <f>S16*Hypothèses!$B$17</f>
        <v/>
      </c>
      <c r="U16">
        <f>Q16*Hypothèses!$B$5</f>
        <v/>
      </c>
      <c r="V16">
        <f>Q16-R16-T16-U16</f>
        <v/>
      </c>
      <c r="W16">
        <f>W15+V16</f>
        <v/>
      </c>
    </row>
    <row r="17">
      <c r="A17" t="n">
        <v>14</v>
      </c>
      <c r="B17">
        <f>INT((A17-1)/12)+1</f>
        <v/>
      </c>
      <c r="C17">
        <f>ROUND(IF(MOD($A17,12)=0,G17,(IF(17=4,0,C16))*(1-$K17)+IF((IF(17=4,0,C16))*(1-$K17)&lt;G17,(G17-(IF(17=4,0,C16))*(1-$K17))*Hypothèses!$B$10,0)),1)</f>
        <v/>
      </c>
      <c r="D17">
        <f>ROUND(IF(MOD($A17,12)=0,H17,(IF(17=4,0,D16))*(1-$K17)+IF((IF(17=4,0,D16))*(1-$K17)&lt;H17,(H17-(IF(17=4,0,D16))*(1-$K17))*Hypothèses!$B$10,0)),1)</f>
        <v/>
      </c>
      <c r="E17">
        <f>ROUND(IF(MOD($A17,12)=0,I17,(IF(17=4,0,E16))*(1-$K17)+IF((IF(17=4,0,E16))*(1-$K17)&lt;I17,(I17-(IF(17=4,0,E16))*(1-$K17))*Hypothèses!$B$10,0)),1)</f>
        <v/>
      </c>
      <c r="F17">
        <f>ROUND(IF(MOD($A17,12)=0,J17,(IF(17=4,0,F16))*(1-$K17)+IF((IF(17=4,0,F16))*(1-$K17)&lt;J17,(J17-(IF(17=4,0,F16))*(1-$K17))*Hypothèses!$B$10,0)),1)</f>
        <v/>
      </c>
      <c r="G17">
        <f>(IF(B17=1,0,IF(B17=2,Hypothèses!$B$26,IF(B17=3,Hypothèses!$C$26,Hypothèses!$D$26)))+(IF(B17=1,Hypothèses!$B$26,IF(B17=2,Hypothèses!$C$26,IF(B17=3,Hypothèses!$D$26,Hypothèses!$D$26)))-(IF(B17=1,0,IF(B17=2,Hypothèses!$B$26,IF(B17=3,Hypothèses!$C$26,Hypothèses!$D$26)))))*((A17)-INT((A17-1)/12)*12)/12)*$B$1</f>
        <v/>
      </c>
      <c r="H17">
        <f>(IF(B17=1,0,IF(B17=2,Hypothèses!$B$27,IF(B17=3,Hypothèses!$C$27,Hypothèses!$D$27)))+(IF(B17=1,Hypothèses!$B$27,IF(B17=2,Hypothèses!$C$27,IF(B17=3,Hypothèses!$D$27,Hypothèses!$D$27)))-(IF(B17=1,0,IF(B17=2,Hypothèses!$B$27,IF(B17=3,Hypothèses!$C$27,Hypothèses!$D$27)))))*((A17)-INT((A17-1)/12)*12)/12)*$B$1</f>
        <v/>
      </c>
      <c r="I17">
        <f>(IF(B17=1,0,IF(B17=2,Hypothèses!$B$28,IF(B17=3,Hypothèses!$C$28,Hypothèses!$D$28)))+(IF(B17=1,Hypothèses!$B$28,IF(B17=2,Hypothèses!$C$28,IF(B17=3,Hypothèses!$D$28,Hypothèses!$D$28)))-(IF(B17=1,0,IF(B17=2,Hypothèses!$B$28,IF(B17=3,Hypothèses!$C$28,Hypothèses!$D$28)))))*((A17)-INT((A17-1)/12)*12)/12)*$B$1</f>
        <v/>
      </c>
      <c r="J17">
        <f>(IF(B17=1,0,IF(B17=2,Hypothèses!$B$29,IF(B17=3,Hypothèses!$C$29,Hypothèses!$D$29)))+(IF(B17=1,Hypothèses!$B$29,IF(B17=2,Hypothèses!$C$29,IF(B17=3,Hypothèses!$D$29,Hypothèses!$D$29)))-(IF(B17=1,0,IF(B17=2,Hypothèses!$B$29,IF(B17=3,Hypothèses!$C$29,Hypothèses!$D$29)))))*((A17)-INT((A17-1)/12)*12)/12)*$B$1</f>
        <v/>
      </c>
      <c r="K17">
        <f>IF(A17&lt;Hypothèses!$B$7,0,Hypothèses!$B$8*(1-Hypothèses!$B$9)^(A17-Hypothèses!$B$7))</f>
        <v/>
      </c>
      <c r="L17">
        <f>C17+D17+E17+F17</f>
        <v/>
      </c>
      <c r="M17">
        <f>(C17*Hypothèses!$B$11+D17*Hypothèses!$B$12+E17*Hypothèses!$B$13+F17*Hypothèses!$B$14)*(IF(B17=1,Hypothèses!$B$20,IF(B17=2,Hypothèses!$B$21,Hypothèses!$B$22))+(1-(IF(B17=1,Hypothèses!$B$20,IF(B17=2,Hypothèses!$B$21,Hypothèses!$B$22))))*11/12)</f>
        <v/>
      </c>
      <c r="N17">
        <f>L17*IF(B17=1,Hypothèses!$C$20,IF(B17=2,Hypothèses!$C$21,Hypothèses!$C$22))*IF(B17=1,Hypothèses!$D$20,IF(B17=2,Hypothèses!$D$21,Hypothèses!$D$22))</f>
        <v/>
      </c>
      <c r="O17">
        <f>IF(A17=18,IF($B$2&gt;=1,Hypothèses!$B$33,0),IF(AND(OR(A17=30,A17=34),$D$2&gt;=1),Hypothèses!$B$34*MIN(1,$D$2/3),0))</f>
        <v/>
      </c>
      <c r="P17">
        <f>M17+N17+O17</f>
        <v/>
      </c>
      <c r="Q17">
        <f>P17/(1+Hypothèses!$B$6)</f>
        <v/>
      </c>
      <c r="R17">
        <f>Hypothèses!$B$3*(1+Hypothèses!$B$4)^INT((A17-1)/3)</f>
        <v/>
      </c>
      <c r="S17">
        <f>0</f>
        <v/>
      </c>
      <c r="T17">
        <f>S17*Hypothèses!$B$17</f>
        <v/>
      </c>
      <c r="U17">
        <f>Q17*Hypothèses!$B$5</f>
        <v/>
      </c>
      <c r="V17">
        <f>Q17-R17-T17-U17</f>
        <v/>
      </c>
      <c r="W17">
        <f>W16+V17</f>
        <v/>
      </c>
    </row>
    <row r="18">
      <c r="A18" t="n">
        <v>15</v>
      </c>
      <c r="B18">
        <f>INT((A18-1)/12)+1</f>
        <v/>
      </c>
      <c r="C18">
        <f>ROUND(IF(MOD($A18,12)=0,G18,(IF(18=4,0,C17))*(1-$K18)+IF((IF(18=4,0,C17))*(1-$K18)&lt;G18,(G18-(IF(18=4,0,C17))*(1-$K18))*Hypothèses!$B$10,0)),1)</f>
        <v/>
      </c>
      <c r="D18">
        <f>ROUND(IF(MOD($A18,12)=0,H18,(IF(18=4,0,D17))*(1-$K18)+IF((IF(18=4,0,D17))*(1-$K18)&lt;H18,(H18-(IF(18=4,0,D17))*(1-$K18))*Hypothèses!$B$10,0)),1)</f>
        <v/>
      </c>
      <c r="E18">
        <f>ROUND(IF(MOD($A18,12)=0,I18,(IF(18=4,0,E17))*(1-$K18)+IF((IF(18=4,0,E17))*(1-$K18)&lt;I18,(I18-(IF(18=4,0,E17))*(1-$K18))*Hypothèses!$B$10,0)),1)</f>
        <v/>
      </c>
      <c r="F18">
        <f>ROUND(IF(MOD($A18,12)=0,J18,(IF(18=4,0,F17))*(1-$K18)+IF((IF(18=4,0,F17))*(1-$K18)&lt;J18,(J18-(IF(18=4,0,F17))*(1-$K18))*Hypothèses!$B$10,0)),1)</f>
        <v/>
      </c>
      <c r="G18">
        <f>(IF(B18=1,0,IF(B18=2,Hypothèses!$B$26,IF(B18=3,Hypothèses!$C$26,Hypothèses!$D$26)))+(IF(B18=1,Hypothèses!$B$26,IF(B18=2,Hypothèses!$C$26,IF(B18=3,Hypothèses!$D$26,Hypothèses!$D$26)))-(IF(B18=1,0,IF(B18=2,Hypothèses!$B$26,IF(B18=3,Hypothèses!$C$26,Hypothèses!$D$26)))))*((A18)-INT((A18-1)/12)*12)/12)*$B$1</f>
        <v/>
      </c>
      <c r="H18">
        <f>(IF(B18=1,0,IF(B18=2,Hypothèses!$B$27,IF(B18=3,Hypothèses!$C$27,Hypothèses!$D$27)))+(IF(B18=1,Hypothèses!$B$27,IF(B18=2,Hypothèses!$C$27,IF(B18=3,Hypothèses!$D$27,Hypothèses!$D$27)))-(IF(B18=1,0,IF(B18=2,Hypothèses!$B$27,IF(B18=3,Hypothèses!$C$27,Hypothèses!$D$27)))))*((A18)-INT((A18-1)/12)*12)/12)*$B$1</f>
        <v/>
      </c>
      <c r="I18">
        <f>(IF(B18=1,0,IF(B18=2,Hypothèses!$B$28,IF(B18=3,Hypothèses!$C$28,Hypothèses!$D$28)))+(IF(B18=1,Hypothèses!$B$28,IF(B18=2,Hypothèses!$C$28,IF(B18=3,Hypothèses!$D$28,Hypothèses!$D$28)))-(IF(B18=1,0,IF(B18=2,Hypothèses!$B$28,IF(B18=3,Hypothèses!$C$28,Hypothèses!$D$28)))))*((A18)-INT((A18-1)/12)*12)/12)*$B$1</f>
        <v/>
      </c>
      <c r="J18">
        <f>(IF(B18=1,0,IF(B18=2,Hypothèses!$B$29,IF(B18=3,Hypothèses!$C$29,Hypothèses!$D$29)))+(IF(B18=1,Hypothèses!$B$29,IF(B18=2,Hypothèses!$C$29,IF(B18=3,Hypothèses!$D$29,Hypothèses!$D$29)))-(IF(B18=1,0,IF(B18=2,Hypothèses!$B$29,IF(B18=3,Hypothèses!$C$29,Hypothèses!$D$29)))))*((A18)-INT((A18-1)/12)*12)/12)*$B$1</f>
        <v/>
      </c>
      <c r="K18">
        <f>IF(A18&lt;Hypothèses!$B$7,0,Hypothèses!$B$8*(1-Hypothèses!$B$9)^(A18-Hypothèses!$B$7))</f>
        <v/>
      </c>
      <c r="L18">
        <f>C18+D18+E18+F18</f>
        <v/>
      </c>
      <c r="M18">
        <f>(C18*Hypothèses!$B$11+D18*Hypothèses!$B$12+E18*Hypothèses!$B$13+F18*Hypothèses!$B$14)*(IF(B18=1,Hypothèses!$B$20,IF(B18=2,Hypothèses!$B$21,Hypothèses!$B$22))+(1-(IF(B18=1,Hypothèses!$B$20,IF(B18=2,Hypothèses!$B$21,Hypothèses!$B$22))))*11/12)</f>
        <v/>
      </c>
      <c r="N18">
        <f>L18*IF(B18=1,Hypothèses!$C$20,IF(B18=2,Hypothèses!$C$21,Hypothèses!$C$22))*IF(B18=1,Hypothèses!$D$20,IF(B18=2,Hypothèses!$D$21,Hypothèses!$D$22))</f>
        <v/>
      </c>
      <c r="O18">
        <f>IF(A18=18,IF($B$2&gt;=1,Hypothèses!$B$33,0),IF(AND(OR(A18=30,A18=34),$D$2&gt;=1),Hypothèses!$B$34*MIN(1,$D$2/3),0))</f>
        <v/>
      </c>
      <c r="P18">
        <f>M18+N18+O18</f>
        <v/>
      </c>
      <c r="Q18">
        <f>P18/(1+Hypothèses!$B$6)</f>
        <v/>
      </c>
      <c r="R18">
        <f>Hypothèses!$B$3*(1+Hypothèses!$B$4)^INT((A18-1)/3)</f>
        <v/>
      </c>
      <c r="S18">
        <f>0</f>
        <v/>
      </c>
      <c r="T18">
        <f>S18*Hypothèses!$B$17</f>
        <v/>
      </c>
      <c r="U18">
        <f>Q18*Hypothèses!$B$5</f>
        <v/>
      </c>
      <c r="V18">
        <f>Q18-R18-T18-U18</f>
        <v/>
      </c>
      <c r="W18">
        <f>W17+V18</f>
        <v/>
      </c>
    </row>
    <row r="19">
      <c r="A19" t="n">
        <v>16</v>
      </c>
      <c r="B19">
        <f>INT((A19-1)/12)+1</f>
        <v/>
      </c>
      <c r="C19">
        <f>ROUND(IF(MOD($A19,12)=0,G19,(IF(19=4,0,C18))*(1-$K19)+IF((IF(19=4,0,C18))*(1-$K19)&lt;G19,(G19-(IF(19=4,0,C18))*(1-$K19))*Hypothèses!$B$10,0)),1)</f>
        <v/>
      </c>
      <c r="D19">
        <f>ROUND(IF(MOD($A19,12)=0,H19,(IF(19=4,0,D18))*(1-$K19)+IF((IF(19=4,0,D18))*(1-$K19)&lt;H19,(H19-(IF(19=4,0,D18))*(1-$K19))*Hypothèses!$B$10,0)),1)</f>
        <v/>
      </c>
      <c r="E19">
        <f>ROUND(IF(MOD($A19,12)=0,I19,(IF(19=4,0,E18))*(1-$K19)+IF((IF(19=4,0,E18))*(1-$K19)&lt;I19,(I19-(IF(19=4,0,E18))*(1-$K19))*Hypothèses!$B$10,0)),1)</f>
        <v/>
      </c>
      <c r="F19">
        <f>ROUND(IF(MOD($A19,12)=0,J19,(IF(19=4,0,F18))*(1-$K19)+IF((IF(19=4,0,F18))*(1-$K19)&lt;J19,(J19-(IF(19=4,0,F18))*(1-$K19))*Hypothèses!$B$10,0)),1)</f>
        <v/>
      </c>
      <c r="G19">
        <f>(IF(B19=1,0,IF(B19=2,Hypothèses!$B$26,IF(B19=3,Hypothèses!$C$26,Hypothèses!$D$26)))+(IF(B19=1,Hypothèses!$B$26,IF(B19=2,Hypothèses!$C$26,IF(B19=3,Hypothèses!$D$26,Hypothèses!$D$26)))-(IF(B19=1,0,IF(B19=2,Hypothèses!$B$26,IF(B19=3,Hypothèses!$C$26,Hypothèses!$D$26)))))*((A19)-INT((A19-1)/12)*12)/12)*$B$1</f>
        <v/>
      </c>
      <c r="H19">
        <f>(IF(B19=1,0,IF(B19=2,Hypothèses!$B$27,IF(B19=3,Hypothèses!$C$27,Hypothèses!$D$27)))+(IF(B19=1,Hypothèses!$B$27,IF(B19=2,Hypothèses!$C$27,IF(B19=3,Hypothèses!$D$27,Hypothèses!$D$27)))-(IF(B19=1,0,IF(B19=2,Hypothèses!$B$27,IF(B19=3,Hypothèses!$C$27,Hypothèses!$D$27)))))*((A19)-INT((A19-1)/12)*12)/12)*$B$1</f>
        <v/>
      </c>
      <c r="I19">
        <f>(IF(B19=1,0,IF(B19=2,Hypothèses!$B$28,IF(B19=3,Hypothèses!$C$28,Hypothèses!$D$28)))+(IF(B19=1,Hypothèses!$B$28,IF(B19=2,Hypothèses!$C$28,IF(B19=3,Hypothèses!$D$28,Hypothèses!$D$28)))-(IF(B19=1,0,IF(B19=2,Hypothèses!$B$28,IF(B19=3,Hypothèses!$C$28,Hypothèses!$D$28)))))*((A19)-INT((A19-1)/12)*12)/12)*$B$1</f>
        <v/>
      </c>
      <c r="J19">
        <f>(IF(B19=1,0,IF(B19=2,Hypothèses!$B$29,IF(B19=3,Hypothèses!$C$29,Hypothèses!$D$29)))+(IF(B19=1,Hypothèses!$B$29,IF(B19=2,Hypothèses!$C$29,IF(B19=3,Hypothèses!$D$29,Hypothèses!$D$29)))-(IF(B19=1,0,IF(B19=2,Hypothèses!$B$29,IF(B19=3,Hypothèses!$C$29,Hypothèses!$D$29)))))*((A19)-INT((A19-1)/12)*12)/12)*$B$1</f>
        <v/>
      </c>
      <c r="K19">
        <f>IF(A19&lt;Hypothèses!$B$7,0,Hypothèses!$B$8*(1-Hypothèses!$B$9)^(A19-Hypothèses!$B$7))</f>
        <v/>
      </c>
      <c r="L19">
        <f>C19+D19+E19+F19</f>
        <v/>
      </c>
      <c r="M19">
        <f>(C19*Hypothèses!$B$11+D19*Hypothèses!$B$12+E19*Hypothèses!$B$13+F19*Hypothèses!$B$14)*(IF(B19=1,Hypothèses!$B$20,IF(B19=2,Hypothèses!$B$21,Hypothèses!$B$22))+(1-(IF(B19=1,Hypothèses!$B$20,IF(B19=2,Hypothèses!$B$21,Hypothèses!$B$22))))*11/12)</f>
        <v/>
      </c>
      <c r="N19">
        <f>L19*IF(B19=1,Hypothèses!$C$20,IF(B19=2,Hypothèses!$C$21,Hypothèses!$C$22))*IF(B19=1,Hypothèses!$D$20,IF(B19=2,Hypothèses!$D$21,Hypothèses!$D$22))</f>
        <v/>
      </c>
      <c r="O19">
        <f>IF(A19=18,IF($B$2&gt;=1,Hypothèses!$B$33,0),IF(AND(OR(A19=30,A19=34),$D$2&gt;=1),Hypothèses!$B$34*MIN(1,$D$2/3),0))</f>
        <v/>
      </c>
      <c r="P19">
        <f>M19+N19+O19</f>
        <v/>
      </c>
      <c r="Q19">
        <f>P19/(1+Hypothèses!$B$6)</f>
        <v/>
      </c>
      <c r="R19">
        <f>Hypothèses!$B$3*(1+Hypothèses!$B$4)^INT((A19-1)/3)</f>
        <v/>
      </c>
      <c r="S19">
        <f>0</f>
        <v/>
      </c>
      <c r="T19">
        <f>S19*Hypothèses!$B$17</f>
        <v/>
      </c>
      <c r="U19">
        <f>Q19*Hypothèses!$B$5</f>
        <v/>
      </c>
      <c r="V19">
        <f>Q19-R19-T19-U19</f>
        <v/>
      </c>
      <c r="W19">
        <f>W18+V19</f>
        <v/>
      </c>
    </row>
    <row r="20">
      <c r="A20" t="n">
        <v>17</v>
      </c>
      <c r="B20">
        <f>INT((A20-1)/12)+1</f>
        <v/>
      </c>
      <c r="C20">
        <f>ROUND(IF(MOD($A20,12)=0,G20,(IF(20=4,0,C19))*(1-$K20)+IF((IF(20=4,0,C19))*(1-$K20)&lt;G20,(G20-(IF(20=4,0,C19))*(1-$K20))*Hypothèses!$B$10,0)),1)</f>
        <v/>
      </c>
      <c r="D20">
        <f>ROUND(IF(MOD($A20,12)=0,H20,(IF(20=4,0,D19))*(1-$K20)+IF((IF(20=4,0,D19))*(1-$K20)&lt;H20,(H20-(IF(20=4,0,D19))*(1-$K20))*Hypothèses!$B$10,0)),1)</f>
        <v/>
      </c>
      <c r="E20">
        <f>ROUND(IF(MOD($A20,12)=0,I20,(IF(20=4,0,E19))*(1-$K20)+IF((IF(20=4,0,E19))*(1-$K20)&lt;I20,(I20-(IF(20=4,0,E19))*(1-$K20))*Hypothèses!$B$10,0)),1)</f>
        <v/>
      </c>
      <c r="F20">
        <f>ROUND(IF(MOD($A20,12)=0,J20,(IF(20=4,0,F19))*(1-$K20)+IF((IF(20=4,0,F19))*(1-$K20)&lt;J20,(J20-(IF(20=4,0,F19))*(1-$K20))*Hypothèses!$B$10,0)),1)</f>
        <v/>
      </c>
      <c r="G20">
        <f>(IF(B20=1,0,IF(B20=2,Hypothèses!$B$26,IF(B20=3,Hypothèses!$C$26,Hypothèses!$D$26)))+(IF(B20=1,Hypothèses!$B$26,IF(B20=2,Hypothèses!$C$26,IF(B20=3,Hypothèses!$D$26,Hypothèses!$D$26)))-(IF(B20=1,0,IF(B20=2,Hypothèses!$B$26,IF(B20=3,Hypothèses!$C$26,Hypothèses!$D$26)))))*((A20)-INT((A20-1)/12)*12)/12)*$B$1</f>
        <v/>
      </c>
      <c r="H20">
        <f>(IF(B20=1,0,IF(B20=2,Hypothèses!$B$27,IF(B20=3,Hypothèses!$C$27,Hypothèses!$D$27)))+(IF(B20=1,Hypothèses!$B$27,IF(B20=2,Hypothèses!$C$27,IF(B20=3,Hypothèses!$D$27,Hypothèses!$D$27)))-(IF(B20=1,0,IF(B20=2,Hypothèses!$B$27,IF(B20=3,Hypothèses!$C$27,Hypothèses!$D$27)))))*((A20)-INT((A20-1)/12)*12)/12)*$B$1</f>
        <v/>
      </c>
      <c r="I20">
        <f>(IF(B20=1,0,IF(B20=2,Hypothèses!$B$28,IF(B20=3,Hypothèses!$C$28,Hypothèses!$D$28)))+(IF(B20=1,Hypothèses!$B$28,IF(B20=2,Hypothèses!$C$28,IF(B20=3,Hypothèses!$D$28,Hypothèses!$D$28)))-(IF(B20=1,0,IF(B20=2,Hypothèses!$B$28,IF(B20=3,Hypothèses!$C$28,Hypothèses!$D$28)))))*((A20)-INT((A20-1)/12)*12)/12)*$B$1</f>
        <v/>
      </c>
      <c r="J20">
        <f>(IF(B20=1,0,IF(B20=2,Hypothèses!$B$29,IF(B20=3,Hypothèses!$C$29,Hypothèses!$D$29)))+(IF(B20=1,Hypothèses!$B$29,IF(B20=2,Hypothèses!$C$29,IF(B20=3,Hypothèses!$D$29,Hypothèses!$D$29)))-(IF(B20=1,0,IF(B20=2,Hypothèses!$B$29,IF(B20=3,Hypothèses!$C$29,Hypothèses!$D$29)))))*((A20)-INT((A20-1)/12)*12)/12)*$B$1</f>
        <v/>
      </c>
      <c r="K20">
        <f>IF(A20&lt;Hypothèses!$B$7,0,Hypothèses!$B$8*(1-Hypothèses!$B$9)^(A20-Hypothèses!$B$7))</f>
        <v/>
      </c>
      <c r="L20">
        <f>C20+D20+E20+F20</f>
        <v/>
      </c>
      <c r="M20">
        <f>(C20*Hypothèses!$B$11+D20*Hypothèses!$B$12+E20*Hypothèses!$B$13+F20*Hypothèses!$B$14)*(IF(B20=1,Hypothèses!$B$20,IF(B20=2,Hypothèses!$B$21,Hypothèses!$B$22))+(1-(IF(B20=1,Hypothèses!$B$20,IF(B20=2,Hypothèses!$B$21,Hypothèses!$B$22))))*11/12)</f>
        <v/>
      </c>
      <c r="N20">
        <f>L20*IF(B20=1,Hypothèses!$C$20,IF(B20=2,Hypothèses!$C$21,Hypothèses!$C$22))*IF(B20=1,Hypothèses!$D$20,IF(B20=2,Hypothèses!$D$21,Hypothèses!$D$22))</f>
        <v/>
      </c>
      <c r="O20">
        <f>IF(A20=18,IF($B$2&gt;=1,Hypothèses!$B$33,0),IF(AND(OR(A20=30,A20=34),$D$2&gt;=1),Hypothèses!$B$34*MIN(1,$D$2/3),0))</f>
        <v/>
      </c>
      <c r="P20">
        <f>M20+N20+O20</f>
        <v/>
      </c>
      <c r="Q20">
        <f>P20/(1+Hypothèses!$B$6)</f>
        <v/>
      </c>
      <c r="R20">
        <f>Hypothèses!$B$3*(1+Hypothèses!$B$4)^INT((A20-1)/3)</f>
        <v/>
      </c>
      <c r="S20">
        <f>0</f>
        <v/>
      </c>
      <c r="T20">
        <f>S20*Hypothèses!$B$17</f>
        <v/>
      </c>
      <c r="U20">
        <f>Q20*Hypothèses!$B$5</f>
        <v/>
      </c>
      <c r="V20">
        <f>Q20-R20-T20-U20</f>
        <v/>
      </c>
      <c r="W20">
        <f>W19+V20</f>
        <v/>
      </c>
    </row>
    <row r="21">
      <c r="A21" t="n">
        <v>18</v>
      </c>
      <c r="B21">
        <f>INT((A21-1)/12)+1</f>
        <v/>
      </c>
      <c r="C21">
        <f>ROUND(IF(MOD($A21,12)=0,G21,(IF(21=4,0,C20))*(1-$K21)+IF((IF(21=4,0,C20))*(1-$K21)&lt;G21,(G21-(IF(21=4,0,C20))*(1-$K21))*Hypothèses!$B$10,0)),1)</f>
        <v/>
      </c>
      <c r="D21">
        <f>ROUND(IF(MOD($A21,12)=0,H21,(IF(21=4,0,D20))*(1-$K21)+IF((IF(21=4,0,D20))*(1-$K21)&lt;H21,(H21-(IF(21=4,0,D20))*(1-$K21))*Hypothèses!$B$10,0)),1)</f>
        <v/>
      </c>
      <c r="E21">
        <f>ROUND(IF(MOD($A21,12)=0,I21,(IF(21=4,0,E20))*(1-$K21)+IF((IF(21=4,0,E20))*(1-$K21)&lt;I21,(I21-(IF(21=4,0,E20))*(1-$K21))*Hypothèses!$B$10,0)),1)</f>
        <v/>
      </c>
      <c r="F21">
        <f>ROUND(IF(MOD($A21,12)=0,J21,(IF(21=4,0,F20))*(1-$K21)+IF((IF(21=4,0,F20))*(1-$K21)&lt;J21,(J21-(IF(21=4,0,F20))*(1-$K21))*Hypothèses!$B$10,0)),1)</f>
        <v/>
      </c>
      <c r="G21">
        <f>(IF(B21=1,0,IF(B21=2,Hypothèses!$B$26,IF(B21=3,Hypothèses!$C$26,Hypothèses!$D$26)))+(IF(B21=1,Hypothèses!$B$26,IF(B21=2,Hypothèses!$C$26,IF(B21=3,Hypothèses!$D$26,Hypothèses!$D$26)))-(IF(B21=1,0,IF(B21=2,Hypothèses!$B$26,IF(B21=3,Hypothèses!$C$26,Hypothèses!$D$26)))))*((A21)-INT((A21-1)/12)*12)/12)*$B$1</f>
        <v/>
      </c>
      <c r="H21">
        <f>(IF(B21=1,0,IF(B21=2,Hypothèses!$B$27,IF(B21=3,Hypothèses!$C$27,Hypothèses!$D$27)))+(IF(B21=1,Hypothèses!$B$27,IF(B21=2,Hypothèses!$C$27,IF(B21=3,Hypothèses!$D$27,Hypothèses!$D$27)))-(IF(B21=1,0,IF(B21=2,Hypothèses!$B$27,IF(B21=3,Hypothèses!$C$27,Hypothèses!$D$27)))))*((A21)-INT((A21-1)/12)*12)/12)*$B$1</f>
        <v/>
      </c>
      <c r="I21">
        <f>(IF(B21=1,0,IF(B21=2,Hypothèses!$B$28,IF(B21=3,Hypothèses!$C$28,Hypothèses!$D$28)))+(IF(B21=1,Hypothèses!$B$28,IF(B21=2,Hypothèses!$C$28,IF(B21=3,Hypothèses!$D$28,Hypothèses!$D$28)))-(IF(B21=1,0,IF(B21=2,Hypothèses!$B$28,IF(B21=3,Hypothèses!$C$28,Hypothèses!$D$28)))))*((A21)-INT((A21-1)/12)*12)/12)*$B$1</f>
        <v/>
      </c>
      <c r="J21">
        <f>(IF(B21=1,0,IF(B21=2,Hypothèses!$B$29,IF(B21=3,Hypothèses!$C$29,Hypothèses!$D$29)))+(IF(B21=1,Hypothèses!$B$29,IF(B21=2,Hypothèses!$C$29,IF(B21=3,Hypothèses!$D$29,Hypothèses!$D$29)))-(IF(B21=1,0,IF(B21=2,Hypothèses!$B$29,IF(B21=3,Hypothèses!$C$29,Hypothèses!$D$29)))))*((A21)-INT((A21-1)/12)*12)/12)*$B$1</f>
        <v/>
      </c>
      <c r="K21">
        <f>IF(A21&lt;Hypothèses!$B$7,0,Hypothèses!$B$8*(1-Hypothèses!$B$9)^(A21-Hypothèses!$B$7))</f>
        <v/>
      </c>
      <c r="L21">
        <f>C21+D21+E21+F21</f>
        <v/>
      </c>
      <c r="M21">
        <f>(C21*Hypothèses!$B$11+D21*Hypothèses!$B$12+E21*Hypothèses!$B$13+F21*Hypothèses!$B$14)*(IF(B21=1,Hypothèses!$B$20,IF(B21=2,Hypothèses!$B$21,Hypothèses!$B$22))+(1-(IF(B21=1,Hypothèses!$B$20,IF(B21=2,Hypothèses!$B$21,Hypothèses!$B$22))))*11/12)</f>
        <v/>
      </c>
      <c r="N21">
        <f>L21*IF(B21=1,Hypothèses!$C$20,IF(B21=2,Hypothèses!$C$21,Hypothèses!$C$22))*IF(B21=1,Hypothèses!$D$20,IF(B21=2,Hypothèses!$D$21,Hypothèses!$D$22))</f>
        <v/>
      </c>
      <c r="O21">
        <f>IF(A21=18,IF($B$2&gt;=1,Hypothèses!$B$33,0),IF(AND(OR(A21=30,A21=34),$D$2&gt;=1),Hypothèses!$B$34*MIN(1,$D$2/3),0))</f>
        <v/>
      </c>
      <c r="P21">
        <f>M21+N21+O21</f>
        <v/>
      </c>
      <c r="Q21">
        <f>P21/(1+Hypothèses!$B$6)</f>
        <v/>
      </c>
      <c r="R21">
        <f>Hypothèses!$B$3*(1+Hypothèses!$B$4)^INT((A21-1)/3)</f>
        <v/>
      </c>
      <c r="S21">
        <f>0</f>
        <v/>
      </c>
      <c r="T21">
        <f>S21*Hypothèses!$B$17</f>
        <v/>
      </c>
      <c r="U21">
        <f>Q21*Hypothèses!$B$5</f>
        <v/>
      </c>
      <c r="V21">
        <f>Q21-R21-T21-U21</f>
        <v/>
      </c>
      <c r="W21">
        <f>W20+V21</f>
        <v/>
      </c>
    </row>
    <row r="22">
      <c r="A22" t="n">
        <v>19</v>
      </c>
      <c r="B22">
        <f>INT((A22-1)/12)+1</f>
        <v/>
      </c>
      <c r="C22">
        <f>ROUND(IF(MOD($A22,12)=0,G22,(IF(22=4,0,C21))*(1-$K22)+IF((IF(22=4,0,C21))*(1-$K22)&lt;G22,(G22-(IF(22=4,0,C21))*(1-$K22))*Hypothèses!$B$10,0)),1)</f>
        <v/>
      </c>
      <c r="D22">
        <f>ROUND(IF(MOD($A22,12)=0,H22,(IF(22=4,0,D21))*(1-$K22)+IF((IF(22=4,0,D21))*(1-$K22)&lt;H22,(H22-(IF(22=4,0,D21))*(1-$K22))*Hypothèses!$B$10,0)),1)</f>
        <v/>
      </c>
      <c r="E22">
        <f>ROUND(IF(MOD($A22,12)=0,I22,(IF(22=4,0,E21))*(1-$K22)+IF((IF(22=4,0,E21))*(1-$K22)&lt;I22,(I22-(IF(22=4,0,E21))*(1-$K22))*Hypothèses!$B$10,0)),1)</f>
        <v/>
      </c>
      <c r="F22">
        <f>ROUND(IF(MOD($A22,12)=0,J22,(IF(22=4,0,F21))*(1-$K22)+IF((IF(22=4,0,F21))*(1-$K22)&lt;J22,(J22-(IF(22=4,0,F21))*(1-$K22))*Hypothèses!$B$10,0)),1)</f>
        <v/>
      </c>
      <c r="G22">
        <f>(IF(B22=1,0,IF(B22=2,Hypothèses!$B$26,IF(B22=3,Hypothèses!$C$26,Hypothèses!$D$26)))+(IF(B22=1,Hypothèses!$B$26,IF(B22=2,Hypothèses!$C$26,IF(B22=3,Hypothèses!$D$26,Hypothèses!$D$26)))-(IF(B22=1,0,IF(B22=2,Hypothèses!$B$26,IF(B22=3,Hypothèses!$C$26,Hypothèses!$D$26)))))*((A22)-INT((A22-1)/12)*12)/12)*$B$1</f>
        <v/>
      </c>
      <c r="H22">
        <f>(IF(B22=1,0,IF(B22=2,Hypothèses!$B$27,IF(B22=3,Hypothèses!$C$27,Hypothèses!$D$27)))+(IF(B22=1,Hypothèses!$B$27,IF(B22=2,Hypothèses!$C$27,IF(B22=3,Hypothèses!$D$27,Hypothèses!$D$27)))-(IF(B22=1,0,IF(B22=2,Hypothèses!$B$27,IF(B22=3,Hypothèses!$C$27,Hypothèses!$D$27)))))*((A22)-INT((A22-1)/12)*12)/12)*$B$1</f>
        <v/>
      </c>
      <c r="I22">
        <f>(IF(B22=1,0,IF(B22=2,Hypothèses!$B$28,IF(B22=3,Hypothèses!$C$28,Hypothèses!$D$28)))+(IF(B22=1,Hypothèses!$B$28,IF(B22=2,Hypothèses!$C$28,IF(B22=3,Hypothèses!$D$28,Hypothèses!$D$28)))-(IF(B22=1,0,IF(B22=2,Hypothèses!$B$28,IF(B22=3,Hypothèses!$C$28,Hypothèses!$D$28)))))*((A22)-INT((A22-1)/12)*12)/12)*$B$1</f>
        <v/>
      </c>
      <c r="J22">
        <f>(IF(B22=1,0,IF(B22=2,Hypothèses!$B$29,IF(B22=3,Hypothèses!$C$29,Hypothèses!$D$29)))+(IF(B22=1,Hypothèses!$B$29,IF(B22=2,Hypothèses!$C$29,IF(B22=3,Hypothèses!$D$29,Hypothèses!$D$29)))-(IF(B22=1,0,IF(B22=2,Hypothèses!$B$29,IF(B22=3,Hypothèses!$C$29,Hypothèses!$D$29)))))*((A22)-INT((A22-1)/12)*12)/12)*$B$1</f>
        <v/>
      </c>
      <c r="K22">
        <f>IF(A22&lt;Hypothèses!$B$7,0,Hypothèses!$B$8*(1-Hypothèses!$B$9)^(A22-Hypothèses!$B$7))</f>
        <v/>
      </c>
      <c r="L22">
        <f>C22+D22+E22+F22</f>
        <v/>
      </c>
      <c r="M22">
        <f>(C22*Hypothèses!$B$11+D22*Hypothèses!$B$12+E22*Hypothèses!$B$13+F22*Hypothèses!$B$14)*(IF(B22=1,Hypothèses!$B$20,IF(B22=2,Hypothèses!$B$21,Hypothèses!$B$22))+(1-(IF(B22=1,Hypothèses!$B$20,IF(B22=2,Hypothèses!$B$21,Hypothèses!$B$22))))*11/12)</f>
        <v/>
      </c>
      <c r="N22">
        <f>L22*IF(B22=1,Hypothèses!$C$20,IF(B22=2,Hypothèses!$C$21,Hypothèses!$C$22))*IF(B22=1,Hypothèses!$D$20,IF(B22=2,Hypothèses!$D$21,Hypothèses!$D$22))</f>
        <v/>
      </c>
      <c r="O22">
        <f>IF(A22=18,IF($B$2&gt;=1,Hypothèses!$B$33,0),IF(AND(OR(A22=30,A22=34),$D$2&gt;=1),Hypothèses!$B$34*MIN(1,$D$2/3),0))</f>
        <v/>
      </c>
      <c r="P22">
        <f>M22+N22+O22</f>
        <v/>
      </c>
      <c r="Q22">
        <f>P22/(1+Hypothèses!$B$6)</f>
        <v/>
      </c>
      <c r="R22">
        <f>Hypothèses!$B$3*(1+Hypothèses!$B$4)^INT((A22-1)/3)</f>
        <v/>
      </c>
      <c r="S22">
        <f>0</f>
        <v/>
      </c>
      <c r="T22">
        <f>S22*Hypothèses!$B$17</f>
        <v/>
      </c>
      <c r="U22">
        <f>Q22*Hypothèses!$B$5</f>
        <v/>
      </c>
      <c r="V22">
        <f>Q22-R22-T22-U22</f>
        <v/>
      </c>
      <c r="W22">
        <f>W21+V22</f>
        <v/>
      </c>
    </row>
    <row r="23">
      <c r="A23" t="n">
        <v>20</v>
      </c>
      <c r="B23">
        <f>INT((A23-1)/12)+1</f>
        <v/>
      </c>
      <c r="C23">
        <f>ROUND(IF(MOD($A23,12)=0,G23,(IF(23=4,0,C22))*(1-$K23)+IF((IF(23=4,0,C22))*(1-$K23)&lt;G23,(G23-(IF(23=4,0,C22))*(1-$K23))*Hypothèses!$B$10,0)),1)</f>
        <v/>
      </c>
      <c r="D23">
        <f>ROUND(IF(MOD($A23,12)=0,H23,(IF(23=4,0,D22))*(1-$K23)+IF((IF(23=4,0,D22))*(1-$K23)&lt;H23,(H23-(IF(23=4,0,D22))*(1-$K23))*Hypothèses!$B$10,0)),1)</f>
        <v/>
      </c>
      <c r="E23">
        <f>ROUND(IF(MOD($A23,12)=0,I23,(IF(23=4,0,E22))*(1-$K23)+IF((IF(23=4,0,E22))*(1-$K23)&lt;I23,(I23-(IF(23=4,0,E22))*(1-$K23))*Hypothèses!$B$10,0)),1)</f>
        <v/>
      </c>
      <c r="F23">
        <f>ROUND(IF(MOD($A23,12)=0,J23,(IF(23=4,0,F22))*(1-$K23)+IF((IF(23=4,0,F22))*(1-$K23)&lt;J23,(J23-(IF(23=4,0,F22))*(1-$K23))*Hypothèses!$B$10,0)),1)</f>
        <v/>
      </c>
      <c r="G23">
        <f>(IF(B23=1,0,IF(B23=2,Hypothèses!$B$26,IF(B23=3,Hypothèses!$C$26,Hypothèses!$D$26)))+(IF(B23=1,Hypothèses!$B$26,IF(B23=2,Hypothèses!$C$26,IF(B23=3,Hypothèses!$D$26,Hypothèses!$D$26)))-(IF(B23=1,0,IF(B23=2,Hypothèses!$B$26,IF(B23=3,Hypothèses!$C$26,Hypothèses!$D$26)))))*((A23)-INT((A23-1)/12)*12)/12)*$B$1</f>
        <v/>
      </c>
      <c r="H23">
        <f>(IF(B23=1,0,IF(B23=2,Hypothèses!$B$27,IF(B23=3,Hypothèses!$C$27,Hypothèses!$D$27)))+(IF(B23=1,Hypothèses!$B$27,IF(B23=2,Hypothèses!$C$27,IF(B23=3,Hypothèses!$D$27,Hypothèses!$D$27)))-(IF(B23=1,0,IF(B23=2,Hypothèses!$B$27,IF(B23=3,Hypothèses!$C$27,Hypothèses!$D$27)))))*((A23)-INT((A23-1)/12)*12)/12)*$B$1</f>
        <v/>
      </c>
      <c r="I23">
        <f>(IF(B23=1,0,IF(B23=2,Hypothèses!$B$28,IF(B23=3,Hypothèses!$C$28,Hypothèses!$D$28)))+(IF(B23=1,Hypothèses!$B$28,IF(B23=2,Hypothèses!$C$28,IF(B23=3,Hypothèses!$D$28,Hypothèses!$D$28)))-(IF(B23=1,0,IF(B23=2,Hypothèses!$B$28,IF(B23=3,Hypothèses!$C$28,Hypothèses!$D$28)))))*((A23)-INT((A23-1)/12)*12)/12)*$B$1</f>
        <v/>
      </c>
      <c r="J23">
        <f>(IF(B23=1,0,IF(B23=2,Hypothèses!$B$29,IF(B23=3,Hypothèses!$C$29,Hypothèses!$D$29)))+(IF(B23=1,Hypothèses!$B$29,IF(B23=2,Hypothèses!$C$29,IF(B23=3,Hypothèses!$D$29,Hypothèses!$D$29)))-(IF(B23=1,0,IF(B23=2,Hypothèses!$B$29,IF(B23=3,Hypothèses!$C$29,Hypothèses!$D$29)))))*((A23)-INT((A23-1)/12)*12)/12)*$B$1</f>
        <v/>
      </c>
      <c r="K23">
        <f>IF(A23&lt;Hypothèses!$B$7,0,Hypothèses!$B$8*(1-Hypothèses!$B$9)^(A23-Hypothèses!$B$7))</f>
        <v/>
      </c>
      <c r="L23">
        <f>C23+D23+E23+F23</f>
        <v/>
      </c>
      <c r="M23">
        <f>(C23*Hypothèses!$B$11+D23*Hypothèses!$B$12+E23*Hypothèses!$B$13+F23*Hypothèses!$B$14)*(IF(B23=1,Hypothèses!$B$20,IF(B23=2,Hypothèses!$B$21,Hypothèses!$B$22))+(1-(IF(B23=1,Hypothèses!$B$20,IF(B23=2,Hypothèses!$B$21,Hypothèses!$B$22))))*11/12)</f>
        <v/>
      </c>
      <c r="N23">
        <f>L23*IF(B23=1,Hypothèses!$C$20,IF(B23=2,Hypothèses!$C$21,Hypothèses!$C$22))*IF(B23=1,Hypothèses!$D$20,IF(B23=2,Hypothèses!$D$21,Hypothèses!$D$22))</f>
        <v/>
      </c>
      <c r="O23">
        <f>IF(A23=18,IF($B$2&gt;=1,Hypothèses!$B$33,0),IF(AND(OR(A23=30,A23=34),$D$2&gt;=1),Hypothèses!$B$34*MIN(1,$D$2/3),0))</f>
        <v/>
      </c>
      <c r="P23">
        <f>M23+N23+O23</f>
        <v/>
      </c>
      <c r="Q23">
        <f>P23/(1+Hypothèses!$B$6)</f>
        <v/>
      </c>
      <c r="R23">
        <f>Hypothèses!$B$3*(1+Hypothèses!$B$4)^INT((A23-1)/3)</f>
        <v/>
      </c>
      <c r="S23">
        <f>0</f>
        <v/>
      </c>
      <c r="T23">
        <f>S23*Hypothèses!$B$17</f>
        <v/>
      </c>
      <c r="U23">
        <f>Q23*Hypothèses!$B$5</f>
        <v/>
      </c>
      <c r="V23">
        <f>Q23-R23-T23-U23</f>
        <v/>
      </c>
      <c r="W23">
        <f>W22+V23</f>
        <v/>
      </c>
    </row>
    <row r="24">
      <c r="A24" t="n">
        <v>21</v>
      </c>
      <c r="B24">
        <f>INT((A24-1)/12)+1</f>
        <v/>
      </c>
      <c r="C24">
        <f>ROUND(IF(MOD($A24,12)=0,G24,(IF(24=4,0,C23))*(1-$K24)+IF((IF(24=4,0,C23))*(1-$K24)&lt;G24,(G24-(IF(24=4,0,C23))*(1-$K24))*Hypothèses!$B$10,0)),1)</f>
        <v/>
      </c>
      <c r="D24">
        <f>ROUND(IF(MOD($A24,12)=0,H24,(IF(24=4,0,D23))*(1-$K24)+IF((IF(24=4,0,D23))*(1-$K24)&lt;H24,(H24-(IF(24=4,0,D23))*(1-$K24))*Hypothèses!$B$10,0)),1)</f>
        <v/>
      </c>
      <c r="E24">
        <f>ROUND(IF(MOD($A24,12)=0,I24,(IF(24=4,0,E23))*(1-$K24)+IF((IF(24=4,0,E23))*(1-$K24)&lt;I24,(I24-(IF(24=4,0,E23))*(1-$K24))*Hypothèses!$B$10,0)),1)</f>
        <v/>
      </c>
      <c r="F24">
        <f>ROUND(IF(MOD($A24,12)=0,J24,(IF(24=4,0,F23))*(1-$K24)+IF((IF(24=4,0,F23))*(1-$K24)&lt;J24,(J24-(IF(24=4,0,F23))*(1-$K24))*Hypothèses!$B$10,0)),1)</f>
        <v/>
      </c>
      <c r="G24">
        <f>(IF(B24=1,0,IF(B24=2,Hypothèses!$B$26,IF(B24=3,Hypothèses!$C$26,Hypothèses!$D$26)))+(IF(B24=1,Hypothèses!$B$26,IF(B24=2,Hypothèses!$C$26,IF(B24=3,Hypothèses!$D$26,Hypothèses!$D$26)))-(IF(B24=1,0,IF(B24=2,Hypothèses!$B$26,IF(B24=3,Hypothèses!$C$26,Hypothèses!$D$26)))))*((A24)-INT((A24-1)/12)*12)/12)*$B$1</f>
        <v/>
      </c>
      <c r="H24">
        <f>(IF(B24=1,0,IF(B24=2,Hypothèses!$B$27,IF(B24=3,Hypothèses!$C$27,Hypothèses!$D$27)))+(IF(B24=1,Hypothèses!$B$27,IF(B24=2,Hypothèses!$C$27,IF(B24=3,Hypothèses!$D$27,Hypothèses!$D$27)))-(IF(B24=1,0,IF(B24=2,Hypothèses!$B$27,IF(B24=3,Hypothèses!$C$27,Hypothèses!$D$27)))))*((A24)-INT((A24-1)/12)*12)/12)*$B$1</f>
        <v/>
      </c>
      <c r="I24">
        <f>(IF(B24=1,0,IF(B24=2,Hypothèses!$B$28,IF(B24=3,Hypothèses!$C$28,Hypothèses!$D$28)))+(IF(B24=1,Hypothèses!$B$28,IF(B24=2,Hypothèses!$C$28,IF(B24=3,Hypothèses!$D$28,Hypothèses!$D$28)))-(IF(B24=1,0,IF(B24=2,Hypothèses!$B$28,IF(B24=3,Hypothèses!$C$28,Hypothèses!$D$28)))))*((A24)-INT((A24-1)/12)*12)/12)*$B$1</f>
        <v/>
      </c>
      <c r="J24">
        <f>(IF(B24=1,0,IF(B24=2,Hypothèses!$B$29,IF(B24=3,Hypothèses!$C$29,Hypothèses!$D$29)))+(IF(B24=1,Hypothèses!$B$29,IF(B24=2,Hypothèses!$C$29,IF(B24=3,Hypothèses!$D$29,Hypothèses!$D$29)))-(IF(B24=1,0,IF(B24=2,Hypothèses!$B$29,IF(B24=3,Hypothèses!$C$29,Hypothèses!$D$29)))))*((A24)-INT((A24-1)/12)*12)/12)*$B$1</f>
        <v/>
      </c>
      <c r="K24">
        <f>IF(A24&lt;Hypothèses!$B$7,0,Hypothèses!$B$8*(1-Hypothèses!$B$9)^(A24-Hypothèses!$B$7))</f>
        <v/>
      </c>
      <c r="L24">
        <f>C24+D24+E24+F24</f>
        <v/>
      </c>
      <c r="M24">
        <f>(C24*Hypothèses!$B$11+D24*Hypothèses!$B$12+E24*Hypothèses!$B$13+F24*Hypothèses!$B$14)*(IF(B24=1,Hypothèses!$B$20,IF(B24=2,Hypothèses!$B$21,Hypothèses!$B$22))+(1-(IF(B24=1,Hypothèses!$B$20,IF(B24=2,Hypothèses!$B$21,Hypothèses!$B$22))))*11/12)</f>
        <v/>
      </c>
      <c r="N24">
        <f>L24*IF(B24=1,Hypothèses!$C$20,IF(B24=2,Hypothèses!$C$21,Hypothèses!$C$22))*IF(B24=1,Hypothèses!$D$20,IF(B24=2,Hypothèses!$D$21,Hypothèses!$D$22))</f>
        <v/>
      </c>
      <c r="O24">
        <f>IF(A24=18,IF($B$2&gt;=1,Hypothèses!$B$33,0),IF(AND(OR(A24=30,A24=34),$D$2&gt;=1),Hypothèses!$B$34*MIN(1,$D$2/3),0))</f>
        <v/>
      </c>
      <c r="P24">
        <f>M24+N24+O24</f>
        <v/>
      </c>
      <c r="Q24">
        <f>P24/(1+Hypothèses!$B$6)</f>
        <v/>
      </c>
      <c r="R24">
        <f>Hypothèses!$B$3*(1+Hypothèses!$B$4)^INT((A24-1)/3)</f>
        <v/>
      </c>
      <c r="S24">
        <f>0</f>
        <v/>
      </c>
      <c r="T24">
        <f>S24*Hypothèses!$B$17</f>
        <v/>
      </c>
      <c r="U24">
        <f>Q24*Hypothèses!$B$5</f>
        <v/>
      </c>
      <c r="V24">
        <f>Q24-R24-T24-U24</f>
        <v/>
      </c>
      <c r="W24">
        <f>W23+V24</f>
        <v/>
      </c>
    </row>
    <row r="25">
      <c r="A25" t="n">
        <v>22</v>
      </c>
      <c r="B25">
        <f>INT((A25-1)/12)+1</f>
        <v/>
      </c>
      <c r="C25">
        <f>ROUND(IF(MOD($A25,12)=0,G25,(IF(25=4,0,C24))*(1-$K25)+IF((IF(25=4,0,C24))*(1-$K25)&lt;G25,(G25-(IF(25=4,0,C24))*(1-$K25))*Hypothèses!$B$10,0)),1)</f>
        <v/>
      </c>
      <c r="D25">
        <f>ROUND(IF(MOD($A25,12)=0,H25,(IF(25=4,0,D24))*(1-$K25)+IF((IF(25=4,0,D24))*(1-$K25)&lt;H25,(H25-(IF(25=4,0,D24))*(1-$K25))*Hypothèses!$B$10,0)),1)</f>
        <v/>
      </c>
      <c r="E25">
        <f>ROUND(IF(MOD($A25,12)=0,I25,(IF(25=4,0,E24))*(1-$K25)+IF((IF(25=4,0,E24))*(1-$K25)&lt;I25,(I25-(IF(25=4,0,E24))*(1-$K25))*Hypothèses!$B$10,0)),1)</f>
        <v/>
      </c>
      <c r="F25">
        <f>ROUND(IF(MOD($A25,12)=0,J25,(IF(25=4,0,F24))*(1-$K25)+IF((IF(25=4,0,F24))*(1-$K25)&lt;J25,(J25-(IF(25=4,0,F24))*(1-$K25))*Hypothèses!$B$10,0)),1)</f>
        <v/>
      </c>
      <c r="G25">
        <f>(IF(B25=1,0,IF(B25=2,Hypothèses!$B$26,IF(B25=3,Hypothèses!$C$26,Hypothèses!$D$26)))+(IF(B25=1,Hypothèses!$B$26,IF(B25=2,Hypothèses!$C$26,IF(B25=3,Hypothèses!$D$26,Hypothèses!$D$26)))-(IF(B25=1,0,IF(B25=2,Hypothèses!$B$26,IF(B25=3,Hypothèses!$C$26,Hypothèses!$D$26)))))*((A25)-INT((A25-1)/12)*12)/12)*$B$1</f>
        <v/>
      </c>
      <c r="H25">
        <f>(IF(B25=1,0,IF(B25=2,Hypothèses!$B$27,IF(B25=3,Hypothèses!$C$27,Hypothèses!$D$27)))+(IF(B25=1,Hypothèses!$B$27,IF(B25=2,Hypothèses!$C$27,IF(B25=3,Hypothèses!$D$27,Hypothèses!$D$27)))-(IF(B25=1,0,IF(B25=2,Hypothèses!$B$27,IF(B25=3,Hypothèses!$C$27,Hypothèses!$D$27)))))*((A25)-INT((A25-1)/12)*12)/12)*$B$1</f>
        <v/>
      </c>
      <c r="I25">
        <f>(IF(B25=1,0,IF(B25=2,Hypothèses!$B$28,IF(B25=3,Hypothèses!$C$28,Hypothèses!$D$28)))+(IF(B25=1,Hypothèses!$B$28,IF(B25=2,Hypothèses!$C$28,IF(B25=3,Hypothèses!$D$28,Hypothèses!$D$28)))-(IF(B25=1,0,IF(B25=2,Hypothèses!$B$28,IF(B25=3,Hypothèses!$C$28,Hypothèses!$D$28)))))*((A25)-INT((A25-1)/12)*12)/12)*$B$1</f>
        <v/>
      </c>
      <c r="J25">
        <f>(IF(B25=1,0,IF(B25=2,Hypothèses!$B$29,IF(B25=3,Hypothèses!$C$29,Hypothèses!$D$29)))+(IF(B25=1,Hypothèses!$B$29,IF(B25=2,Hypothèses!$C$29,IF(B25=3,Hypothèses!$D$29,Hypothèses!$D$29)))-(IF(B25=1,0,IF(B25=2,Hypothèses!$B$29,IF(B25=3,Hypothèses!$C$29,Hypothèses!$D$29)))))*((A25)-INT((A25-1)/12)*12)/12)*$B$1</f>
        <v/>
      </c>
      <c r="K25">
        <f>IF(A25&lt;Hypothèses!$B$7,0,Hypothèses!$B$8*(1-Hypothèses!$B$9)^(A25-Hypothèses!$B$7))</f>
        <v/>
      </c>
      <c r="L25">
        <f>C25+D25+E25+F25</f>
        <v/>
      </c>
      <c r="M25">
        <f>(C25*Hypothèses!$B$11+D25*Hypothèses!$B$12+E25*Hypothèses!$B$13+F25*Hypothèses!$B$14)*(IF(B25=1,Hypothèses!$B$20,IF(B25=2,Hypothèses!$B$21,Hypothèses!$B$22))+(1-(IF(B25=1,Hypothèses!$B$20,IF(B25=2,Hypothèses!$B$21,Hypothèses!$B$22))))*11/12)</f>
        <v/>
      </c>
      <c r="N25">
        <f>L25*IF(B25=1,Hypothèses!$C$20,IF(B25=2,Hypothèses!$C$21,Hypothèses!$C$22))*IF(B25=1,Hypothèses!$D$20,IF(B25=2,Hypothèses!$D$21,Hypothèses!$D$22))</f>
        <v/>
      </c>
      <c r="O25">
        <f>IF(A25=18,IF($B$2&gt;=1,Hypothèses!$B$33,0),IF(AND(OR(A25=30,A25=34),$D$2&gt;=1),Hypothèses!$B$34*MIN(1,$D$2/3),0))</f>
        <v/>
      </c>
      <c r="P25">
        <f>M25+N25+O25</f>
        <v/>
      </c>
      <c r="Q25">
        <f>P25/(1+Hypothèses!$B$6)</f>
        <v/>
      </c>
      <c r="R25">
        <f>Hypothèses!$B$3*(1+Hypothèses!$B$4)^INT((A25-1)/3)</f>
        <v/>
      </c>
      <c r="S25">
        <f>0</f>
        <v/>
      </c>
      <c r="T25">
        <f>S25*Hypothèses!$B$17</f>
        <v/>
      </c>
      <c r="U25">
        <f>Q25*Hypothèses!$B$5</f>
        <v/>
      </c>
      <c r="V25">
        <f>Q25-R25-T25-U25</f>
        <v/>
      </c>
      <c r="W25">
        <f>W24+V25</f>
        <v/>
      </c>
    </row>
    <row r="26">
      <c r="A26" t="n">
        <v>23</v>
      </c>
      <c r="B26">
        <f>INT((A26-1)/12)+1</f>
        <v/>
      </c>
      <c r="C26">
        <f>ROUND(IF(MOD($A26,12)=0,G26,(IF(26=4,0,C25))*(1-$K26)+IF((IF(26=4,0,C25))*(1-$K26)&lt;G26,(G26-(IF(26=4,0,C25))*(1-$K26))*Hypothèses!$B$10,0)),1)</f>
        <v/>
      </c>
      <c r="D26">
        <f>ROUND(IF(MOD($A26,12)=0,H26,(IF(26=4,0,D25))*(1-$K26)+IF((IF(26=4,0,D25))*(1-$K26)&lt;H26,(H26-(IF(26=4,0,D25))*(1-$K26))*Hypothèses!$B$10,0)),1)</f>
        <v/>
      </c>
      <c r="E26">
        <f>ROUND(IF(MOD($A26,12)=0,I26,(IF(26=4,0,E25))*(1-$K26)+IF((IF(26=4,0,E25))*(1-$K26)&lt;I26,(I26-(IF(26=4,0,E25))*(1-$K26))*Hypothèses!$B$10,0)),1)</f>
        <v/>
      </c>
      <c r="F26">
        <f>ROUND(IF(MOD($A26,12)=0,J26,(IF(26=4,0,F25))*(1-$K26)+IF((IF(26=4,0,F25))*(1-$K26)&lt;J26,(J26-(IF(26=4,0,F25))*(1-$K26))*Hypothèses!$B$10,0)),1)</f>
        <v/>
      </c>
      <c r="G26">
        <f>(IF(B26=1,0,IF(B26=2,Hypothèses!$B$26,IF(B26=3,Hypothèses!$C$26,Hypothèses!$D$26)))+(IF(B26=1,Hypothèses!$B$26,IF(B26=2,Hypothèses!$C$26,IF(B26=3,Hypothèses!$D$26,Hypothèses!$D$26)))-(IF(B26=1,0,IF(B26=2,Hypothèses!$B$26,IF(B26=3,Hypothèses!$C$26,Hypothèses!$D$26)))))*((A26)-INT((A26-1)/12)*12)/12)*$B$1</f>
        <v/>
      </c>
      <c r="H26">
        <f>(IF(B26=1,0,IF(B26=2,Hypothèses!$B$27,IF(B26=3,Hypothèses!$C$27,Hypothèses!$D$27)))+(IF(B26=1,Hypothèses!$B$27,IF(B26=2,Hypothèses!$C$27,IF(B26=3,Hypothèses!$D$27,Hypothèses!$D$27)))-(IF(B26=1,0,IF(B26=2,Hypothèses!$B$27,IF(B26=3,Hypothèses!$C$27,Hypothèses!$D$27)))))*((A26)-INT((A26-1)/12)*12)/12)*$B$1</f>
        <v/>
      </c>
      <c r="I26">
        <f>(IF(B26=1,0,IF(B26=2,Hypothèses!$B$28,IF(B26=3,Hypothèses!$C$28,Hypothèses!$D$28)))+(IF(B26=1,Hypothèses!$B$28,IF(B26=2,Hypothèses!$C$28,IF(B26=3,Hypothèses!$D$28,Hypothèses!$D$28)))-(IF(B26=1,0,IF(B26=2,Hypothèses!$B$28,IF(B26=3,Hypothèses!$C$28,Hypothèses!$D$28)))))*((A26)-INT((A26-1)/12)*12)/12)*$B$1</f>
        <v/>
      </c>
      <c r="J26">
        <f>(IF(B26=1,0,IF(B26=2,Hypothèses!$B$29,IF(B26=3,Hypothèses!$C$29,Hypothèses!$D$29)))+(IF(B26=1,Hypothèses!$B$29,IF(B26=2,Hypothèses!$C$29,IF(B26=3,Hypothèses!$D$29,Hypothèses!$D$29)))-(IF(B26=1,0,IF(B26=2,Hypothèses!$B$29,IF(B26=3,Hypothèses!$C$29,Hypothèses!$D$29)))))*((A26)-INT((A26-1)/12)*12)/12)*$B$1</f>
        <v/>
      </c>
      <c r="K26">
        <f>IF(A26&lt;Hypothèses!$B$7,0,Hypothèses!$B$8*(1-Hypothèses!$B$9)^(A26-Hypothèses!$B$7))</f>
        <v/>
      </c>
      <c r="L26">
        <f>C26+D26+E26+F26</f>
        <v/>
      </c>
      <c r="M26">
        <f>(C26*Hypothèses!$B$11+D26*Hypothèses!$B$12+E26*Hypothèses!$B$13+F26*Hypothèses!$B$14)*(IF(B26=1,Hypothèses!$B$20,IF(B26=2,Hypothèses!$B$21,Hypothèses!$B$22))+(1-(IF(B26=1,Hypothèses!$B$20,IF(B26=2,Hypothèses!$B$21,Hypothèses!$B$22))))*11/12)</f>
        <v/>
      </c>
      <c r="N26">
        <f>L26*IF(B26=1,Hypothèses!$C$20,IF(B26=2,Hypothèses!$C$21,Hypothèses!$C$22))*IF(B26=1,Hypothèses!$D$20,IF(B26=2,Hypothèses!$D$21,Hypothèses!$D$22))</f>
        <v/>
      </c>
      <c r="O26">
        <f>IF(A26=18,IF($B$2&gt;=1,Hypothèses!$B$33,0),IF(AND(OR(A26=30,A26=34),$D$2&gt;=1),Hypothèses!$B$34*MIN(1,$D$2/3),0))</f>
        <v/>
      </c>
      <c r="P26">
        <f>M26+N26+O26</f>
        <v/>
      </c>
      <c r="Q26">
        <f>P26/(1+Hypothèses!$B$6)</f>
        <v/>
      </c>
      <c r="R26">
        <f>Hypothèses!$B$3*(1+Hypothèses!$B$4)^INT((A26-1)/3)</f>
        <v/>
      </c>
      <c r="S26">
        <f>0</f>
        <v/>
      </c>
      <c r="T26">
        <f>S26*Hypothèses!$B$17</f>
        <v/>
      </c>
      <c r="U26">
        <f>Q26*Hypothèses!$B$5</f>
        <v/>
      </c>
      <c r="V26">
        <f>Q26-R26-T26-U26</f>
        <v/>
      </c>
      <c r="W26">
        <f>W25+V26</f>
        <v/>
      </c>
    </row>
    <row r="27">
      <c r="A27" t="n">
        <v>24</v>
      </c>
      <c r="B27">
        <f>INT((A27-1)/12)+1</f>
        <v/>
      </c>
      <c r="C27">
        <f>ROUND(IF(MOD($A27,12)=0,G27,(IF(27=4,0,C26))*(1-$K27)+IF((IF(27=4,0,C26))*(1-$K27)&lt;G27,(G27-(IF(27=4,0,C26))*(1-$K27))*Hypothèses!$B$10,0)),1)</f>
        <v/>
      </c>
      <c r="D27">
        <f>ROUND(IF(MOD($A27,12)=0,H27,(IF(27=4,0,D26))*(1-$K27)+IF((IF(27=4,0,D26))*(1-$K27)&lt;H27,(H27-(IF(27=4,0,D26))*(1-$K27))*Hypothèses!$B$10,0)),1)</f>
        <v/>
      </c>
      <c r="E27">
        <f>ROUND(IF(MOD($A27,12)=0,I27,(IF(27=4,0,E26))*(1-$K27)+IF((IF(27=4,0,E26))*(1-$K27)&lt;I27,(I27-(IF(27=4,0,E26))*(1-$K27))*Hypothèses!$B$10,0)),1)</f>
        <v/>
      </c>
      <c r="F27">
        <f>ROUND(IF(MOD($A27,12)=0,J27,(IF(27=4,0,F26))*(1-$K27)+IF((IF(27=4,0,F26))*(1-$K27)&lt;J27,(J27-(IF(27=4,0,F26))*(1-$K27))*Hypothèses!$B$10,0)),1)</f>
        <v/>
      </c>
      <c r="G27">
        <f>(IF(B27=1,0,IF(B27=2,Hypothèses!$B$26,IF(B27=3,Hypothèses!$C$26,Hypothèses!$D$26)))+(IF(B27=1,Hypothèses!$B$26,IF(B27=2,Hypothèses!$C$26,IF(B27=3,Hypothèses!$D$26,Hypothèses!$D$26)))-(IF(B27=1,0,IF(B27=2,Hypothèses!$B$26,IF(B27=3,Hypothèses!$C$26,Hypothèses!$D$26)))))*((A27)-INT((A27-1)/12)*12)/12)*$B$1</f>
        <v/>
      </c>
      <c r="H27">
        <f>(IF(B27=1,0,IF(B27=2,Hypothèses!$B$27,IF(B27=3,Hypothèses!$C$27,Hypothèses!$D$27)))+(IF(B27=1,Hypothèses!$B$27,IF(B27=2,Hypothèses!$C$27,IF(B27=3,Hypothèses!$D$27,Hypothèses!$D$27)))-(IF(B27=1,0,IF(B27=2,Hypothèses!$B$27,IF(B27=3,Hypothèses!$C$27,Hypothèses!$D$27)))))*((A27)-INT((A27-1)/12)*12)/12)*$B$1</f>
        <v/>
      </c>
      <c r="I27">
        <f>(IF(B27=1,0,IF(B27=2,Hypothèses!$B$28,IF(B27=3,Hypothèses!$C$28,Hypothèses!$D$28)))+(IF(B27=1,Hypothèses!$B$28,IF(B27=2,Hypothèses!$C$28,IF(B27=3,Hypothèses!$D$28,Hypothèses!$D$28)))-(IF(B27=1,0,IF(B27=2,Hypothèses!$B$28,IF(B27=3,Hypothèses!$C$28,Hypothèses!$D$28)))))*((A27)-INT((A27-1)/12)*12)/12)*$B$1</f>
        <v/>
      </c>
      <c r="J27">
        <f>(IF(B27=1,0,IF(B27=2,Hypothèses!$B$29,IF(B27=3,Hypothèses!$C$29,Hypothèses!$D$29)))+(IF(B27=1,Hypothèses!$B$29,IF(B27=2,Hypothèses!$C$29,IF(B27=3,Hypothèses!$D$29,Hypothèses!$D$29)))-(IF(B27=1,0,IF(B27=2,Hypothèses!$B$29,IF(B27=3,Hypothèses!$C$29,Hypothèses!$D$29)))))*((A27)-INT((A27-1)/12)*12)/12)*$B$1</f>
        <v/>
      </c>
      <c r="K27">
        <f>IF(A27&lt;Hypothèses!$B$7,0,Hypothèses!$B$8*(1-Hypothèses!$B$9)^(A27-Hypothèses!$B$7))</f>
        <v/>
      </c>
      <c r="L27">
        <f>C27+D27+E27+F27</f>
        <v/>
      </c>
      <c r="M27">
        <f>(C27*Hypothèses!$B$11+D27*Hypothèses!$B$12+E27*Hypothèses!$B$13+F27*Hypothèses!$B$14)*(IF(B27=1,Hypothèses!$B$20,IF(B27=2,Hypothèses!$B$21,Hypothèses!$B$22))+(1-(IF(B27=1,Hypothèses!$B$20,IF(B27=2,Hypothèses!$B$21,Hypothèses!$B$22))))*11/12)</f>
        <v/>
      </c>
      <c r="N27">
        <f>L27*IF(B27=1,Hypothèses!$C$20,IF(B27=2,Hypothèses!$C$21,Hypothèses!$C$22))*IF(B27=1,Hypothèses!$D$20,IF(B27=2,Hypothèses!$D$21,Hypothèses!$D$22))</f>
        <v/>
      </c>
      <c r="O27">
        <f>IF(A27=18,IF($B$2&gt;=1,Hypothèses!$B$33,0),IF(AND(OR(A27=30,A27=34),$D$2&gt;=1),Hypothèses!$B$34*MIN(1,$D$2/3),0))</f>
        <v/>
      </c>
      <c r="P27">
        <f>M27+N27+O27</f>
        <v/>
      </c>
      <c r="Q27">
        <f>P27/(1+Hypothèses!$B$6)</f>
        <v/>
      </c>
      <c r="R27">
        <f>Hypothèses!$B$3*(1+Hypothèses!$B$4)^INT((A27-1)/3)</f>
        <v/>
      </c>
      <c r="S27">
        <f>0</f>
        <v/>
      </c>
      <c r="T27">
        <f>S27*Hypothèses!$B$17</f>
        <v/>
      </c>
      <c r="U27">
        <f>Q27*Hypothèses!$B$5</f>
        <v/>
      </c>
      <c r="V27">
        <f>Q27-R27-T27-U27</f>
        <v/>
      </c>
      <c r="W27">
        <f>W26+V27</f>
        <v/>
      </c>
    </row>
    <row r="28">
      <c r="A28" t="n">
        <v>25</v>
      </c>
      <c r="B28">
        <f>INT((A28-1)/12)+1</f>
        <v/>
      </c>
      <c r="C28">
        <f>ROUND(IF(MOD($A28,12)=0,G28,(IF(28=4,0,C27))*(1-$K28)+IF((IF(28=4,0,C27))*(1-$K28)&lt;G28,(G28-(IF(28=4,0,C27))*(1-$K28))*Hypothèses!$B$10,0)),1)</f>
        <v/>
      </c>
      <c r="D28">
        <f>ROUND(IF(MOD($A28,12)=0,H28,(IF(28=4,0,D27))*(1-$K28)+IF((IF(28=4,0,D27))*(1-$K28)&lt;H28,(H28-(IF(28=4,0,D27))*(1-$K28))*Hypothèses!$B$10,0)),1)</f>
        <v/>
      </c>
      <c r="E28">
        <f>ROUND(IF(MOD($A28,12)=0,I28,(IF(28=4,0,E27))*(1-$K28)+IF((IF(28=4,0,E27))*(1-$K28)&lt;I28,(I28-(IF(28=4,0,E27))*(1-$K28))*Hypothèses!$B$10,0)),1)</f>
        <v/>
      </c>
      <c r="F28">
        <f>ROUND(IF(MOD($A28,12)=0,J28,(IF(28=4,0,F27))*(1-$K28)+IF((IF(28=4,0,F27))*(1-$K28)&lt;J28,(J28-(IF(28=4,0,F27))*(1-$K28))*Hypothèses!$B$10,0)),1)</f>
        <v/>
      </c>
      <c r="G28">
        <f>(IF(B28=1,0,IF(B28=2,Hypothèses!$B$26,IF(B28=3,Hypothèses!$C$26,Hypothèses!$D$26)))+(IF(B28=1,Hypothèses!$B$26,IF(B28=2,Hypothèses!$C$26,IF(B28=3,Hypothèses!$D$26,Hypothèses!$D$26)))-(IF(B28=1,0,IF(B28=2,Hypothèses!$B$26,IF(B28=3,Hypothèses!$C$26,Hypothèses!$D$26)))))*((A28)-INT((A28-1)/12)*12)/12)*$B$1</f>
        <v/>
      </c>
      <c r="H28">
        <f>(IF(B28=1,0,IF(B28=2,Hypothèses!$B$27,IF(B28=3,Hypothèses!$C$27,Hypothèses!$D$27)))+(IF(B28=1,Hypothèses!$B$27,IF(B28=2,Hypothèses!$C$27,IF(B28=3,Hypothèses!$D$27,Hypothèses!$D$27)))-(IF(B28=1,0,IF(B28=2,Hypothèses!$B$27,IF(B28=3,Hypothèses!$C$27,Hypothèses!$D$27)))))*((A28)-INT((A28-1)/12)*12)/12)*$B$1</f>
        <v/>
      </c>
      <c r="I28">
        <f>(IF(B28=1,0,IF(B28=2,Hypothèses!$B$28,IF(B28=3,Hypothèses!$C$28,Hypothèses!$D$28)))+(IF(B28=1,Hypothèses!$B$28,IF(B28=2,Hypothèses!$C$28,IF(B28=3,Hypothèses!$D$28,Hypothèses!$D$28)))-(IF(B28=1,0,IF(B28=2,Hypothèses!$B$28,IF(B28=3,Hypothèses!$C$28,Hypothèses!$D$28)))))*((A28)-INT((A28-1)/12)*12)/12)*$B$1</f>
        <v/>
      </c>
      <c r="J28">
        <f>(IF(B28=1,0,IF(B28=2,Hypothèses!$B$29,IF(B28=3,Hypothèses!$C$29,Hypothèses!$D$29)))+(IF(B28=1,Hypothèses!$B$29,IF(B28=2,Hypothèses!$C$29,IF(B28=3,Hypothèses!$D$29,Hypothèses!$D$29)))-(IF(B28=1,0,IF(B28=2,Hypothèses!$B$29,IF(B28=3,Hypothèses!$C$29,Hypothèses!$D$29)))))*((A28)-INT((A28-1)/12)*12)/12)*$B$1</f>
        <v/>
      </c>
      <c r="K28">
        <f>IF(A28&lt;Hypothèses!$B$7,0,Hypothèses!$B$8*(1-Hypothèses!$B$9)^(A28-Hypothèses!$B$7))</f>
        <v/>
      </c>
      <c r="L28">
        <f>C28+D28+E28+F28</f>
        <v/>
      </c>
      <c r="M28">
        <f>(C28*Hypothèses!$B$11+D28*Hypothèses!$B$12+E28*Hypothèses!$B$13+F28*Hypothèses!$B$14)*(IF(B28=1,Hypothèses!$B$20,IF(B28=2,Hypothèses!$B$21,Hypothèses!$B$22))+(1-(IF(B28=1,Hypothèses!$B$20,IF(B28=2,Hypothèses!$B$21,Hypothèses!$B$22))))*11/12)</f>
        <v/>
      </c>
      <c r="N28">
        <f>L28*IF(B28=1,Hypothèses!$C$20,IF(B28=2,Hypothèses!$C$21,Hypothèses!$C$22))*IF(B28=1,Hypothèses!$D$20,IF(B28=2,Hypothèses!$D$21,Hypothèses!$D$22))</f>
        <v/>
      </c>
      <c r="O28">
        <f>IF(A28=18,IF($B$2&gt;=1,Hypothèses!$B$33,0),IF(AND(OR(A28=30,A28=34),$D$2&gt;=1),Hypothèses!$B$34*MIN(1,$D$2/3),0))</f>
        <v/>
      </c>
      <c r="P28">
        <f>M28+N28+O28</f>
        <v/>
      </c>
      <c r="Q28">
        <f>P28/(1+Hypothèses!$B$6)</f>
        <v/>
      </c>
      <c r="R28">
        <f>Hypothèses!$B$3*(1+Hypothèses!$B$4)^INT((A28-1)/3)</f>
        <v/>
      </c>
      <c r="S28">
        <f>0</f>
        <v/>
      </c>
      <c r="T28">
        <f>S28*Hypothèses!$B$17</f>
        <v/>
      </c>
      <c r="U28">
        <f>Q28*Hypothèses!$B$5</f>
        <v/>
      </c>
      <c r="V28">
        <f>Q28-R28-T28-U28</f>
        <v/>
      </c>
      <c r="W28">
        <f>W27+V28</f>
        <v/>
      </c>
    </row>
    <row r="29">
      <c r="A29" t="n">
        <v>26</v>
      </c>
      <c r="B29">
        <f>INT((A29-1)/12)+1</f>
        <v/>
      </c>
      <c r="C29">
        <f>ROUND(IF(MOD($A29,12)=0,G29,(IF(29=4,0,C28))*(1-$K29)+IF((IF(29=4,0,C28))*(1-$K29)&lt;G29,(G29-(IF(29=4,0,C28))*(1-$K29))*Hypothèses!$B$10,0)),1)</f>
        <v/>
      </c>
      <c r="D29">
        <f>ROUND(IF(MOD($A29,12)=0,H29,(IF(29=4,0,D28))*(1-$K29)+IF((IF(29=4,0,D28))*(1-$K29)&lt;H29,(H29-(IF(29=4,0,D28))*(1-$K29))*Hypothèses!$B$10,0)),1)</f>
        <v/>
      </c>
      <c r="E29">
        <f>ROUND(IF(MOD($A29,12)=0,I29,(IF(29=4,0,E28))*(1-$K29)+IF((IF(29=4,0,E28))*(1-$K29)&lt;I29,(I29-(IF(29=4,0,E28))*(1-$K29))*Hypothèses!$B$10,0)),1)</f>
        <v/>
      </c>
      <c r="F29">
        <f>ROUND(IF(MOD($A29,12)=0,J29,(IF(29=4,0,F28))*(1-$K29)+IF((IF(29=4,0,F28))*(1-$K29)&lt;J29,(J29-(IF(29=4,0,F28))*(1-$K29))*Hypothèses!$B$10,0)),1)</f>
        <v/>
      </c>
      <c r="G29">
        <f>(IF(B29=1,0,IF(B29=2,Hypothèses!$B$26,IF(B29=3,Hypothèses!$C$26,Hypothèses!$D$26)))+(IF(B29=1,Hypothèses!$B$26,IF(B29=2,Hypothèses!$C$26,IF(B29=3,Hypothèses!$D$26,Hypothèses!$D$26)))-(IF(B29=1,0,IF(B29=2,Hypothèses!$B$26,IF(B29=3,Hypothèses!$C$26,Hypothèses!$D$26)))))*((A29)-INT((A29-1)/12)*12)/12)*$B$1</f>
        <v/>
      </c>
      <c r="H29">
        <f>(IF(B29=1,0,IF(B29=2,Hypothèses!$B$27,IF(B29=3,Hypothèses!$C$27,Hypothèses!$D$27)))+(IF(B29=1,Hypothèses!$B$27,IF(B29=2,Hypothèses!$C$27,IF(B29=3,Hypothèses!$D$27,Hypothèses!$D$27)))-(IF(B29=1,0,IF(B29=2,Hypothèses!$B$27,IF(B29=3,Hypothèses!$C$27,Hypothèses!$D$27)))))*((A29)-INT((A29-1)/12)*12)/12)*$B$1</f>
        <v/>
      </c>
      <c r="I29">
        <f>(IF(B29=1,0,IF(B29=2,Hypothèses!$B$28,IF(B29=3,Hypothèses!$C$28,Hypothèses!$D$28)))+(IF(B29=1,Hypothèses!$B$28,IF(B29=2,Hypothèses!$C$28,IF(B29=3,Hypothèses!$D$28,Hypothèses!$D$28)))-(IF(B29=1,0,IF(B29=2,Hypothèses!$B$28,IF(B29=3,Hypothèses!$C$28,Hypothèses!$D$28)))))*((A29)-INT((A29-1)/12)*12)/12)*$B$1</f>
        <v/>
      </c>
      <c r="J29">
        <f>(IF(B29=1,0,IF(B29=2,Hypothèses!$B$29,IF(B29=3,Hypothèses!$C$29,Hypothèses!$D$29)))+(IF(B29=1,Hypothèses!$B$29,IF(B29=2,Hypothèses!$C$29,IF(B29=3,Hypothèses!$D$29,Hypothèses!$D$29)))-(IF(B29=1,0,IF(B29=2,Hypothèses!$B$29,IF(B29=3,Hypothèses!$C$29,Hypothèses!$D$29)))))*((A29)-INT((A29-1)/12)*12)/12)*$B$1</f>
        <v/>
      </c>
      <c r="K29">
        <f>IF(A29&lt;Hypothèses!$B$7,0,Hypothèses!$B$8*(1-Hypothèses!$B$9)^(A29-Hypothèses!$B$7))</f>
        <v/>
      </c>
      <c r="L29">
        <f>C29+D29+E29+F29</f>
        <v/>
      </c>
      <c r="M29">
        <f>(C29*Hypothèses!$B$11+D29*Hypothèses!$B$12+E29*Hypothèses!$B$13+F29*Hypothèses!$B$14)*(IF(B29=1,Hypothèses!$B$20,IF(B29=2,Hypothèses!$B$21,Hypothèses!$B$22))+(1-(IF(B29=1,Hypothèses!$B$20,IF(B29=2,Hypothèses!$B$21,Hypothèses!$B$22))))*11/12)</f>
        <v/>
      </c>
      <c r="N29">
        <f>L29*IF(B29=1,Hypothèses!$C$20,IF(B29=2,Hypothèses!$C$21,Hypothèses!$C$22))*IF(B29=1,Hypothèses!$D$20,IF(B29=2,Hypothèses!$D$21,Hypothèses!$D$22))</f>
        <v/>
      </c>
      <c r="O29">
        <f>IF(A29=18,IF($B$2&gt;=1,Hypothèses!$B$33,0),IF(AND(OR(A29=30,A29=34),$D$2&gt;=1),Hypothèses!$B$34*MIN(1,$D$2/3),0))</f>
        <v/>
      </c>
      <c r="P29">
        <f>M29+N29+O29</f>
        <v/>
      </c>
      <c r="Q29">
        <f>P29/(1+Hypothèses!$B$6)</f>
        <v/>
      </c>
      <c r="R29">
        <f>Hypothèses!$B$3*(1+Hypothèses!$B$4)^INT((A29-1)/3)</f>
        <v/>
      </c>
      <c r="S29">
        <f>0</f>
        <v/>
      </c>
      <c r="T29">
        <f>S29*Hypothèses!$B$17</f>
        <v/>
      </c>
      <c r="U29">
        <f>Q29*Hypothèses!$B$5</f>
        <v/>
      </c>
      <c r="V29">
        <f>Q29-R29-T29-U29</f>
        <v/>
      </c>
      <c r="W29">
        <f>W28+V29</f>
        <v/>
      </c>
    </row>
    <row r="30">
      <c r="A30" t="n">
        <v>27</v>
      </c>
      <c r="B30">
        <f>INT((A30-1)/12)+1</f>
        <v/>
      </c>
      <c r="C30">
        <f>ROUND(IF(MOD($A30,12)=0,G30,(IF(30=4,0,C29))*(1-$K30)+IF((IF(30=4,0,C29))*(1-$K30)&lt;G30,(G30-(IF(30=4,0,C29))*(1-$K30))*Hypothèses!$B$10,0)),1)</f>
        <v/>
      </c>
      <c r="D30">
        <f>ROUND(IF(MOD($A30,12)=0,H30,(IF(30=4,0,D29))*(1-$K30)+IF((IF(30=4,0,D29))*(1-$K30)&lt;H30,(H30-(IF(30=4,0,D29))*(1-$K30))*Hypothèses!$B$10,0)),1)</f>
        <v/>
      </c>
      <c r="E30">
        <f>ROUND(IF(MOD($A30,12)=0,I30,(IF(30=4,0,E29))*(1-$K30)+IF((IF(30=4,0,E29))*(1-$K30)&lt;I30,(I30-(IF(30=4,0,E29))*(1-$K30))*Hypothèses!$B$10,0)),1)</f>
        <v/>
      </c>
      <c r="F30">
        <f>ROUND(IF(MOD($A30,12)=0,J30,(IF(30=4,0,F29))*(1-$K30)+IF((IF(30=4,0,F29))*(1-$K30)&lt;J30,(J30-(IF(30=4,0,F29))*(1-$K30))*Hypothèses!$B$10,0)),1)</f>
        <v/>
      </c>
      <c r="G30">
        <f>(IF(B30=1,0,IF(B30=2,Hypothèses!$B$26,IF(B30=3,Hypothèses!$C$26,Hypothèses!$D$26)))+(IF(B30=1,Hypothèses!$B$26,IF(B30=2,Hypothèses!$C$26,IF(B30=3,Hypothèses!$D$26,Hypothèses!$D$26)))-(IF(B30=1,0,IF(B30=2,Hypothèses!$B$26,IF(B30=3,Hypothèses!$C$26,Hypothèses!$D$26)))))*((A30)-INT((A30-1)/12)*12)/12)*$B$1</f>
        <v/>
      </c>
      <c r="H30">
        <f>(IF(B30=1,0,IF(B30=2,Hypothèses!$B$27,IF(B30=3,Hypothèses!$C$27,Hypothèses!$D$27)))+(IF(B30=1,Hypothèses!$B$27,IF(B30=2,Hypothèses!$C$27,IF(B30=3,Hypothèses!$D$27,Hypothèses!$D$27)))-(IF(B30=1,0,IF(B30=2,Hypothèses!$B$27,IF(B30=3,Hypothèses!$C$27,Hypothèses!$D$27)))))*((A30)-INT((A30-1)/12)*12)/12)*$B$1</f>
        <v/>
      </c>
      <c r="I30">
        <f>(IF(B30=1,0,IF(B30=2,Hypothèses!$B$28,IF(B30=3,Hypothèses!$C$28,Hypothèses!$D$28)))+(IF(B30=1,Hypothèses!$B$28,IF(B30=2,Hypothèses!$C$28,IF(B30=3,Hypothèses!$D$28,Hypothèses!$D$28)))-(IF(B30=1,0,IF(B30=2,Hypothèses!$B$28,IF(B30=3,Hypothèses!$C$28,Hypothèses!$D$28)))))*((A30)-INT((A30-1)/12)*12)/12)*$B$1</f>
        <v/>
      </c>
      <c r="J30">
        <f>(IF(B30=1,0,IF(B30=2,Hypothèses!$B$29,IF(B30=3,Hypothèses!$C$29,Hypothèses!$D$29)))+(IF(B30=1,Hypothèses!$B$29,IF(B30=2,Hypothèses!$C$29,IF(B30=3,Hypothèses!$D$29,Hypothèses!$D$29)))-(IF(B30=1,0,IF(B30=2,Hypothèses!$B$29,IF(B30=3,Hypothèses!$C$29,Hypothèses!$D$29)))))*((A30)-INT((A30-1)/12)*12)/12)*$B$1</f>
        <v/>
      </c>
      <c r="K30">
        <f>IF(A30&lt;Hypothèses!$B$7,0,Hypothèses!$B$8*(1-Hypothèses!$B$9)^(A30-Hypothèses!$B$7))</f>
        <v/>
      </c>
      <c r="L30">
        <f>C30+D30+E30+F30</f>
        <v/>
      </c>
      <c r="M30">
        <f>(C30*Hypothèses!$B$11+D30*Hypothèses!$B$12+E30*Hypothèses!$B$13+F30*Hypothèses!$B$14)*(IF(B30=1,Hypothèses!$B$20,IF(B30=2,Hypothèses!$B$21,Hypothèses!$B$22))+(1-(IF(B30=1,Hypothèses!$B$20,IF(B30=2,Hypothèses!$B$21,Hypothèses!$B$22))))*11/12)</f>
        <v/>
      </c>
      <c r="N30">
        <f>L30*IF(B30=1,Hypothèses!$C$20,IF(B30=2,Hypothèses!$C$21,Hypothèses!$C$22))*IF(B30=1,Hypothèses!$D$20,IF(B30=2,Hypothèses!$D$21,Hypothèses!$D$22))</f>
        <v/>
      </c>
      <c r="O30">
        <f>IF(A30=18,IF($B$2&gt;=1,Hypothèses!$B$33,0),IF(AND(OR(A30=30,A30=34),$D$2&gt;=1),Hypothèses!$B$34*MIN(1,$D$2/3),0))</f>
        <v/>
      </c>
      <c r="P30">
        <f>M30+N30+O30</f>
        <v/>
      </c>
      <c r="Q30">
        <f>P30/(1+Hypothèses!$B$6)</f>
        <v/>
      </c>
      <c r="R30">
        <f>Hypothèses!$B$3*(1+Hypothèses!$B$4)^INT((A30-1)/3)</f>
        <v/>
      </c>
      <c r="S30">
        <f>0</f>
        <v/>
      </c>
      <c r="T30">
        <f>S30*Hypothèses!$B$17</f>
        <v/>
      </c>
      <c r="U30">
        <f>Q30*Hypothèses!$B$5</f>
        <v/>
      </c>
      <c r="V30">
        <f>Q30-R30-T30-U30</f>
        <v/>
      </c>
      <c r="W30">
        <f>W29+V30</f>
        <v/>
      </c>
    </row>
    <row r="31">
      <c r="A31" t="n">
        <v>28</v>
      </c>
      <c r="B31">
        <f>INT((A31-1)/12)+1</f>
        <v/>
      </c>
      <c r="C31">
        <f>ROUND(IF(MOD($A31,12)=0,G31,(IF(31=4,0,C30))*(1-$K31)+IF((IF(31=4,0,C30))*(1-$K31)&lt;G31,(G31-(IF(31=4,0,C30))*(1-$K31))*Hypothèses!$B$10,0)),1)</f>
        <v/>
      </c>
      <c r="D31">
        <f>ROUND(IF(MOD($A31,12)=0,H31,(IF(31=4,0,D30))*(1-$K31)+IF((IF(31=4,0,D30))*(1-$K31)&lt;H31,(H31-(IF(31=4,0,D30))*(1-$K31))*Hypothèses!$B$10,0)),1)</f>
        <v/>
      </c>
      <c r="E31">
        <f>ROUND(IF(MOD($A31,12)=0,I31,(IF(31=4,0,E30))*(1-$K31)+IF((IF(31=4,0,E30))*(1-$K31)&lt;I31,(I31-(IF(31=4,0,E30))*(1-$K31))*Hypothèses!$B$10,0)),1)</f>
        <v/>
      </c>
      <c r="F31">
        <f>ROUND(IF(MOD($A31,12)=0,J31,(IF(31=4,0,F30))*(1-$K31)+IF((IF(31=4,0,F30))*(1-$K31)&lt;J31,(J31-(IF(31=4,0,F30))*(1-$K31))*Hypothèses!$B$10,0)),1)</f>
        <v/>
      </c>
      <c r="G31">
        <f>(IF(B31=1,0,IF(B31=2,Hypothèses!$B$26,IF(B31=3,Hypothèses!$C$26,Hypothèses!$D$26)))+(IF(B31=1,Hypothèses!$B$26,IF(B31=2,Hypothèses!$C$26,IF(B31=3,Hypothèses!$D$26,Hypothèses!$D$26)))-(IF(B31=1,0,IF(B31=2,Hypothèses!$B$26,IF(B31=3,Hypothèses!$C$26,Hypothèses!$D$26)))))*((A31)-INT((A31-1)/12)*12)/12)*$B$1</f>
        <v/>
      </c>
      <c r="H31">
        <f>(IF(B31=1,0,IF(B31=2,Hypothèses!$B$27,IF(B31=3,Hypothèses!$C$27,Hypothèses!$D$27)))+(IF(B31=1,Hypothèses!$B$27,IF(B31=2,Hypothèses!$C$27,IF(B31=3,Hypothèses!$D$27,Hypothèses!$D$27)))-(IF(B31=1,0,IF(B31=2,Hypothèses!$B$27,IF(B31=3,Hypothèses!$C$27,Hypothèses!$D$27)))))*((A31)-INT((A31-1)/12)*12)/12)*$B$1</f>
        <v/>
      </c>
      <c r="I31">
        <f>(IF(B31=1,0,IF(B31=2,Hypothèses!$B$28,IF(B31=3,Hypothèses!$C$28,Hypothèses!$D$28)))+(IF(B31=1,Hypothèses!$B$28,IF(B31=2,Hypothèses!$C$28,IF(B31=3,Hypothèses!$D$28,Hypothèses!$D$28)))-(IF(B31=1,0,IF(B31=2,Hypothèses!$B$28,IF(B31=3,Hypothèses!$C$28,Hypothèses!$D$28)))))*((A31)-INT((A31-1)/12)*12)/12)*$B$1</f>
        <v/>
      </c>
      <c r="J31">
        <f>(IF(B31=1,0,IF(B31=2,Hypothèses!$B$29,IF(B31=3,Hypothèses!$C$29,Hypothèses!$D$29)))+(IF(B31=1,Hypothèses!$B$29,IF(B31=2,Hypothèses!$C$29,IF(B31=3,Hypothèses!$D$29,Hypothèses!$D$29)))-(IF(B31=1,0,IF(B31=2,Hypothèses!$B$29,IF(B31=3,Hypothèses!$C$29,Hypothèses!$D$29)))))*((A31)-INT((A31-1)/12)*12)/12)*$B$1</f>
        <v/>
      </c>
      <c r="K31">
        <f>IF(A31&lt;Hypothèses!$B$7,0,Hypothèses!$B$8*(1-Hypothèses!$B$9)^(A31-Hypothèses!$B$7))</f>
        <v/>
      </c>
      <c r="L31">
        <f>C31+D31+E31+F31</f>
        <v/>
      </c>
      <c r="M31">
        <f>(C31*Hypothèses!$B$11+D31*Hypothèses!$B$12+E31*Hypothèses!$B$13+F31*Hypothèses!$B$14)*(IF(B31=1,Hypothèses!$B$20,IF(B31=2,Hypothèses!$B$21,Hypothèses!$B$22))+(1-(IF(B31=1,Hypothèses!$B$20,IF(B31=2,Hypothèses!$B$21,Hypothèses!$B$22))))*11/12)</f>
        <v/>
      </c>
      <c r="N31">
        <f>L31*IF(B31=1,Hypothèses!$C$20,IF(B31=2,Hypothèses!$C$21,Hypothèses!$C$22))*IF(B31=1,Hypothèses!$D$20,IF(B31=2,Hypothèses!$D$21,Hypothèses!$D$22))</f>
        <v/>
      </c>
      <c r="O31">
        <f>IF(A31=18,IF($B$2&gt;=1,Hypothèses!$B$33,0),IF(AND(OR(A31=30,A31=34),$D$2&gt;=1),Hypothèses!$B$34*MIN(1,$D$2/3),0))</f>
        <v/>
      </c>
      <c r="P31">
        <f>M31+N31+O31</f>
        <v/>
      </c>
      <c r="Q31">
        <f>P31/(1+Hypothèses!$B$6)</f>
        <v/>
      </c>
      <c r="R31">
        <f>Hypothèses!$B$3*(1+Hypothèses!$B$4)^INT((A31-1)/3)</f>
        <v/>
      </c>
      <c r="S31">
        <f>0</f>
        <v/>
      </c>
      <c r="T31">
        <f>S31*Hypothèses!$B$17</f>
        <v/>
      </c>
      <c r="U31">
        <f>Q31*Hypothèses!$B$5</f>
        <v/>
      </c>
      <c r="V31">
        <f>Q31-R31-T31-U31</f>
        <v/>
      </c>
      <c r="W31">
        <f>W30+V31</f>
        <v/>
      </c>
    </row>
    <row r="32">
      <c r="A32" t="n">
        <v>29</v>
      </c>
      <c r="B32">
        <f>INT((A32-1)/12)+1</f>
        <v/>
      </c>
      <c r="C32">
        <f>ROUND(IF(MOD($A32,12)=0,G32,(IF(32=4,0,C31))*(1-$K32)+IF((IF(32=4,0,C31))*(1-$K32)&lt;G32,(G32-(IF(32=4,0,C31))*(1-$K32))*Hypothèses!$B$10,0)),1)</f>
        <v/>
      </c>
      <c r="D32">
        <f>ROUND(IF(MOD($A32,12)=0,H32,(IF(32=4,0,D31))*(1-$K32)+IF((IF(32=4,0,D31))*(1-$K32)&lt;H32,(H32-(IF(32=4,0,D31))*(1-$K32))*Hypothèses!$B$10,0)),1)</f>
        <v/>
      </c>
      <c r="E32">
        <f>ROUND(IF(MOD($A32,12)=0,I32,(IF(32=4,0,E31))*(1-$K32)+IF((IF(32=4,0,E31))*(1-$K32)&lt;I32,(I32-(IF(32=4,0,E31))*(1-$K32))*Hypothèses!$B$10,0)),1)</f>
        <v/>
      </c>
      <c r="F32">
        <f>ROUND(IF(MOD($A32,12)=0,J32,(IF(32=4,0,F31))*(1-$K32)+IF((IF(32=4,0,F31))*(1-$K32)&lt;J32,(J32-(IF(32=4,0,F31))*(1-$K32))*Hypothèses!$B$10,0)),1)</f>
        <v/>
      </c>
      <c r="G32">
        <f>(IF(B32=1,0,IF(B32=2,Hypothèses!$B$26,IF(B32=3,Hypothèses!$C$26,Hypothèses!$D$26)))+(IF(B32=1,Hypothèses!$B$26,IF(B32=2,Hypothèses!$C$26,IF(B32=3,Hypothèses!$D$26,Hypothèses!$D$26)))-(IF(B32=1,0,IF(B32=2,Hypothèses!$B$26,IF(B32=3,Hypothèses!$C$26,Hypothèses!$D$26)))))*((A32)-INT((A32-1)/12)*12)/12)*$B$1</f>
        <v/>
      </c>
      <c r="H32">
        <f>(IF(B32=1,0,IF(B32=2,Hypothèses!$B$27,IF(B32=3,Hypothèses!$C$27,Hypothèses!$D$27)))+(IF(B32=1,Hypothèses!$B$27,IF(B32=2,Hypothèses!$C$27,IF(B32=3,Hypothèses!$D$27,Hypothèses!$D$27)))-(IF(B32=1,0,IF(B32=2,Hypothèses!$B$27,IF(B32=3,Hypothèses!$C$27,Hypothèses!$D$27)))))*((A32)-INT((A32-1)/12)*12)/12)*$B$1</f>
        <v/>
      </c>
      <c r="I32">
        <f>(IF(B32=1,0,IF(B32=2,Hypothèses!$B$28,IF(B32=3,Hypothèses!$C$28,Hypothèses!$D$28)))+(IF(B32=1,Hypothèses!$B$28,IF(B32=2,Hypothèses!$C$28,IF(B32=3,Hypothèses!$D$28,Hypothèses!$D$28)))-(IF(B32=1,0,IF(B32=2,Hypothèses!$B$28,IF(B32=3,Hypothèses!$C$28,Hypothèses!$D$28)))))*((A32)-INT((A32-1)/12)*12)/12)*$B$1</f>
        <v/>
      </c>
      <c r="J32">
        <f>(IF(B32=1,0,IF(B32=2,Hypothèses!$B$29,IF(B32=3,Hypothèses!$C$29,Hypothèses!$D$29)))+(IF(B32=1,Hypothèses!$B$29,IF(B32=2,Hypothèses!$C$29,IF(B32=3,Hypothèses!$D$29,Hypothèses!$D$29)))-(IF(B32=1,0,IF(B32=2,Hypothèses!$B$29,IF(B32=3,Hypothèses!$C$29,Hypothèses!$D$29)))))*((A32)-INT((A32-1)/12)*12)/12)*$B$1</f>
        <v/>
      </c>
      <c r="K32">
        <f>IF(A32&lt;Hypothèses!$B$7,0,Hypothèses!$B$8*(1-Hypothèses!$B$9)^(A32-Hypothèses!$B$7))</f>
        <v/>
      </c>
      <c r="L32">
        <f>C32+D32+E32+F32</f>
        <v/>
      </c>
      <c r="M32">
        <f>(C32*Hypothèses!$B$11+D32*Hypothèses!$B$12+E32*Hypothèses!$B$13+F32*Hypothèses!$B$14)*(IF(B32=1,Hypothèses!$B$20,IF(B32=2,Hypothèses!$B$21,Hypothèses!$B$22))+(1-(IF(B32=1,Hypothèses!$B$20,IF(B32=2,Hypothèses!$B$21,Hypothèses!$B$22))))*11/12)</f>
        <v/>
      </c>
      <c r="N32">
        <f>L32*IF(B32=1,Hypothèses!$C$20,IF(B32=2,Hypothèses!$C$21,Hypothèses!$C$22))*IF(B32=1,Hypothèses!$D$20,IF(B32=2,Hypothèses!$D$21,Hypothèses!$D$22))</f>
        <v/>
      </c>
      <c r="O32">
        <f>IF(A32=18,IF($B$2&gt;=1,Hypothèses!$B$33,0),IF(AND(OR(A32=30,A32=34),$D$2&gt;=1),Hypothèses!$B$34*MIN(1,$D$2/3),0))</f>
        <v/>
      </c>
      <c r="P32">
        <f>M32+N32+O32</f>
        <v/>
      </c>
      <c r="Q32">
        <f>P32/(1+Hypothèses!$B$6)</f>
        <v/>
      </c>
      <c r="R32">
        <f>Hypothèses!$B$3*(1+Hypothèses!$B$4)^INT((A32-1)/3)</f>
        <v/>
      </c>
      <c r="S32">
        <f>0</f>
        <v/>
      </c>
      <c r="T32">
        <f>S32*Hypothèses!$B$17</f>
        <v/>
      </c>
      <c r="U32">
        <f>Q32*Hypothèses!$B$5</f>
        <v/>
      </c>
      <c r="V32">
        <f>Q32-R32-T32-U32</f>
        <v/>
      </c>
      <c r="W32">
        <f>W31+V32</f>
        <v/>
      </c>
    </row>
    <row r="33">
      <c r="A33" t="n">
        <v>30</v>
      </c>
      <c r="B33">
        <f>INT((A33-1)/12)+1</f>
        <v/>
      </c>
      <c r="C33">
        <f>ROUND(IF(MOD($A33,12)=0,G33,(IF(33=4,0,C32))*(1-$K33)+IF((IF(33=4,0,C32))*(1-$K33)&lt;G33,(G33-(IF(33=4,0,C32))*(1-$K33))*Hypothèses!$B$10,0)),1)</f>
        <v/>
      </c>
      <c r="D33">
        <f>ROUND(IF(MOD($A33,12)=0,H33,(IF(33=4,0,D32))*(1-$K33)+IF((IF(33=4,0,D32))*(1-$K33)&lt;H33,(H33-(IF(33=4,0,D32))*(1-$K33))*Hypothèses!$B$10,0)),1)</f>
        <v/>
      </c>
      <c r="E33">
        <f>ROUND(IF(MOD($A33,12)=0,I33,(IF(33=4,0,E32))*(1-$K33)+IF((IF(33=4,0,E32))*(1-$K33)&lt;I33,(I33-(IF(33=4,0,E32))*(1-$K33))*Hypothèses!$B$10,0)),1)</f>
        <v/>
      </c>
      <c r="F33">
        <f>ROUND(IF(MOD($A33,12)=0,J33,(IF(33=4,0,F32))*(1-$K33)+IF((IF(33=4,0,F32))*(1-$K33)&lt;J33,(J33-(IF(33=4,0,F32))*(1-$K33))*Hypothèses!$B$10,0)),1)</f>
        <v/>
      </c>
      <c r="G33">
        <f>(IF(B33=1,0,IF(B33=2,Hypothèses!$B$26,IF(B33=3,Hypothèses!$C$26,Hypothèses!$D$26)))+(IF(B33=1,Hypothèses!$B$26,IF(B33=2,Hypothèses!$C$26,IF(B33=3,Hypothèses!$D$26,Hypothèses!$D$26)))-(IF(B33=1,0,IF(B33=2,Hypothèses!$B$26,IF(B33=3,Hypothèses!$C$26,Hypothèses!$D$26)))))*((A33)-INT((A33-1)/12)*12)/12)*$B$1</f>
        <v/>
      </c>
      <c r="H33">
        <f>(IF(B33=1,0,IF(B33=2,Hypothèses!$B$27,IF(B33=3,Hypothèses!$C$27,Hypothèses!$D$27)))+(IF(B33=1,Hypothèses!$B$27,IF(B33=2,Hypothèses!$C$27,IF(B33=3,Hypothèses!$D$27,Hypothèses!$D$27)))-(IF(B33=1,0,IF(B33=2,Hypothèses!$B$27,IF(B33=3,Hypothèses!$C$27,Hypothèses!$D$27)))))*((A33)-INT((A33-1)/12)*12)/12)*$B$1</f>
        <v/>
      </c>
      <c r="I33">
        <f>(IF(B33=1,0,IF(B33=2,Hypothèses!$B$28,IF(B33=3,Hypothèses!$C$28,Hypothèses!$D$28)))+(IF(B33=1,Hypothèses!$B$28,IF(B33=2,Hypothèses!$C$28,IF(B33=3,Hypothèses!$D$28,Hypothèses!$D$28)))-(IF(B33=1,0,IF(B33=2,Hypothèses!$B$28,IF(B33=3,Hypothèses!$C$28,Hypothèses!$D$28)))))*((A33)-INT((A33-1)/12)*12)/12)*$B$1</f>
        <v/>
      </c>
      <c r="J33">
        <f>(IF(B33=1,0,IF(B33=2,Hypothèses!$B$29,IF(B33=3,Hypothèses!$C$29,Hypothèses!$D$29)))+(IF(B33=1,Hypothèses!$B$29,IF(B33=2,Hypothèses!$C$29,IF(B33=3,Hypothèses!$D$29,Hypothèses!$D$29)))-(IF(B33=1,0,IF(B33=2,Hypothèses!$B$29,IF(B33=3,Hypothèses!$C$29,Hypothèses!$D$29)))))*((A33)-INT((A33-1)/12)*12)/12)*$B$1</f>
        <v/>
      </c>
      <c r="K33">
        <f>IF(A33&lt;Hypothèses!$B$7,0,Hypothèses!$B$8*(1-Hypothèses!$B$9)^(A33-Hypothèses!$B$7))</f>
        <v/>
      </c>
      <c r="L33">
        <f>C33+D33+E33+F33</f>
        <v/>
      </c>
      <c r="M33">
        <f>(C33*Hypothèses!$B$11+D33*Hypothèses!$B$12+E33*Hypothèses!$B$13+F33*Hypothèses!$B$14)*(IF(B33=1,Hypothèses!$B$20,IF(B33=2,Hypothèses!$B$21,Hypothèses!$B$22))+(1-(IF(B33=1,Hypothèses!$B$20,IF(B33=2,Hypothèses!$B$21,Hypothèses!$B$22))))*11/12)</f>
        <v/>
      </c>
      <c r="N33">
        <f>L33*IF(B33=1,Hypothèses!$C$20,IF(B33=2,Hypothèses!$C$21,Hypothèses!$C$22))*IF(B33=1,Hypothèses!$D$20,IF(B33=2,Hypothèses!$D$21,Hypothèses!$D$22))</f>
        <v/>
      </c>
      <c r="O33">
        <f>IF(A33=18,IF($B$2&gt;=1,Hypothèses!$B$33,0),IF(AND(OR(A33=30,A33=34),$D$2&gt;=1),Hypothèses!$B$34*MIN(1,$D$2/3),0))</f>
        <v/>
      </c>
      <c r="P33">
        <f>M33+N33+O33</f>
        <v/>
      </c>
      <c r="Q33">
        <f>P33/(1+Hypothèses!$B$6)</f>
        <v/>
      </c>
      <c r="R33">
        <f>Hypothèses!$B$3*(1+Hypothèses!$B$4)^INT((A33-1)/3)</f>
        <v/>
      </c>
      <c r="S33">
        <f>0</f>
        <v/>
      </c>
      <c r="T33">
        <f>S33*Hypothèses!$B$17</f>
        <v/>
      </c>
      <c r="U33">
        <f>Q33*Hypothèses!$B$5</f>
        <v/>
      </c>
      <c r="V33">
        <f>Q33-R33-T33-U33</f>
        <v/>
      </c>
      <c r="W33">
        <f>W32+V33</f>
        <v/>
      </c>
    </row>
    <row r="34">
      <c r="A34" t="n">
        <v>31</v>
      </c>
      <c r="B34">
        <f>INT((A34-1)/12)+1</f>
        <v/>
      </c>
      <c r="C34">
        <f>ROUND(IF(MOD($A34,12)=0,G34,(IF(34=4,0,C33))*(1-$K34)+IF((IF(34=4,0,C33))*(1-$K34)&lt;G34,(G34-(IF(34=4,0,C33))*(1-$K34))*Hypothèses!$B$10,0)),1)</f>
        <v/>
      </c>
      <c r="D34">
        <f>ROUND(IF(MOD($A34,12)=0,H34,(IF(34=4,0,D33))*(1-$K34)+IF((IF(34=4,0,D33))*(1-$K34)&lt;H34,(H34-(IF(34=4,0,D33))*(1-$K34))*Hypothèses!$B$10,0)),1)</f>
        <v/>
      </c>
      <c r="E34">
        <f>ROUND(IF(MOD($A34,12)=0,I34,(IF(34=4,0,E33))*(1-$K34)+IF((IF(34=4,0,E33))*(1-$K34)&lt;I34,(I34-(IF(34=4,0,E33))*(1-$K34))*Hypothèses!$B$10,0)),1)</f>
        <v/>
      </c>
      <c r="F34">
        <f>ROUND(IF(MOD($A34,12)=0,J34,(IF(34=4,0,F33))*(1-$K34)+IF((IF(34=4,0,F33))*(1-$K34)&lt;J34,(J34-(IF(34=4,0,F33))*(1-$K34))*Hypothèses!$B$10,0)),1)</f>
        <v/>
      </c>
      <c r="G34">
        <f>(IF(B34=1,0,IF(B34=2,Hypothèses!$B$26,IF(B34=3,Hypothèses!$C$26,Hypothèses!$D$26)))+(IF(B34=1,Hypothèses!$B$26,IF(B34=2,Hypothèses!$C$26,IF(B34=3,Hypothèses!$D$26,Hypothèses!$D$26)))-(IF(B34=1,0,IF(B34=2,Hypothèses!$B$26,IF(B34=3,Hypothèses!$C$26,Hypothèses!$D$26)))))*((A34)-INT((A34-1)/12)*12)/12)*$B$1</f>
        <v/>
      </c>
      <c r="H34">
        <f>(IF(B34=1,0,IF(B34=2,Hypothèses!$B$27,IF(B34=3,Hypothèses!$C$27,Hypothèses!$D$27)))+(IF(B34=1,Hypothèses!$B$27,IF(B34=2,Hypothèses!$C$27,IF(B34=3,Hypothèses!$D$27,Hypothèses!$D$27)))-(IF(B34=1,0,IF(B34=2,Hypothèses!$B$27,IF(B34=3,Hypothèses!$C$27,Hypothèses!$D$27)))))*((A34)-INT((A34-1)/12)*12)/12)*$B$1</f>
        <v/>
      </c>
      <c r="I34">
        <f>(IF(B34=1,0,IF(B34=2,Hypothèses!$B$28,IF(B34=3,Hypothèses!$C$28,Hypothèses!$D$28)))+(IF(B34=1,Hypothèses!$B$28,IF(B34=2,Hypothèses!$C$28,IF(B34=3,Hypothèses!$D$28,Hypothèses!$D$28)))-(IF(B34=1,0,IF(B34=2,Hypothèses!$B$28,IF(B34=3,Hypothèses!$C$28,Hypothèses!$D$28)))))*((A34)-INT((A34-1)/12)*12)/12)*$B$1</f>
        <v/>
      </c>
      <c r="J34">
        <f>(IF(B34=1,0,IF(B34=2,Hypothèses!$B$29,IF(B34=3,Hypothèses!$C$29,Hypothèses!$D$29)))+(IF(B34=1,Hypothèses!$B$29,IF(B34=2,Hypothèses!$C$29,IF(B34=3,Hypothèses!$D$29,Hypothèses!$D$29)))-(IF(B34=1,0,IF(B34=2,Hypothèses!$B$29,IF(B34=3,Hypothèses!$C$29,Hypothèses!$D$29)))))*((A34)-INT((A34-1)/12)*12)/12)*$B$1</f>
        <v/>
      </c>
      <c r="K34">
        <f>IF(A34&lt;Hypothèses!$B$7,0,Hypothèses!$B$8*(1-Hypothèses!$B$9)^(A34-Hypothèses!$B$7))</f>
        <v/>
      </c>
      <c r="L34">
        <f>C34+D34+E34+F34</f>
        <v/>
      </c>
      <c r="M34">
        <f>(C34*Hypothèses!$B$11+D34*Hypothèses!$B$12+E34*Hypothèses!$B$13+F34*Hypothèses!$B$14)*(IF(B34=1,Hypothèses!$B$20,IF(B34=2,Hypothèses!$B$21,Hypothèses!$B$22))+(1-(IF(B34=1,Hypothèses!$B$20,IF(B34=2,Hypothèses!$B$21,Hypothèses!$B$22))))*11/12)</f>
        <v/>
      </c>
      <c r="N34">
        <f>L34*IF(B34=1,Hypothèses!$C$20,IF(B34=2,Hypothèses!$C$21,Hypothèses!$C$22))*IF(B34=1,Hypothèses!$D$20,IF(B34=2,Hypothèses!$D$21,Hypothèses!$D$22))</f>
        <v/>
      </c>
      <c r="O34">
        <f>IF(A34=18,IF($B$2&gt;=1,Hypothèses!$B$33,0),IF(AND(OR(A34=30,A34=34),$D$2&gt;=1),Hypothèses!$B$34*MIN(1,$D$2/3),0))</f>
        <v/>
      </c>
      <c r="P34">
        <f>M34+N34+O34</f>
        <v/>
      </c>
      <c r="Q34">
        <f>P34/(1+Hypothèses!$B$6)</f>
        <v/>
      </c>
      <c r="R34">
        <f>Hypothèses!$B$3*(1+Hypothèses!$B$4)^INT((A34-1)/3)</f>
        <v/>
      </c>
      <c r="S34">
        <f>0</f>
        <v/>
      </c>
      <c r="T34">
        <f>S34*Hypothèses!$B$17</f>
        <v/>
      </c>
      <c r="U34">
        <f>Q34*Hypothèses!$B$5</f>
        <v/>
      </c>
      <c r="V34">
        <f>Q34-R34-T34-U34</f>
        <v/>
      </c>
      <c r="W34">
        <f>W33+V34</f>
        <v/>
      </c>
    </row>
    <row r="35">
      <c r="A35" t="n">
        <v>32</v>
      </c>
      <c r="B35">
        <f>INT((A35-1)/12)+1</f>
        <v/>
      </c>
      <c r="C35">
        <f>ROUND(IF(MOD($A35,12)=0,G35,(IF(35=4,0,C34))*(1-$K35)+IF((IF(35=4,0,C34))*(1-$K35)&lt;G35,(G35-(IF(35=4,0,C34))*(1-$K35))*Hypothèses!$B$10,0)),1)</f>
        <v/>
      </c>
      <c r="D35">
        <f>ROUND(IF(MOD($A35,12)=0,H35,(IF(35=4,0,D34))*(1-$K35)+IF((IF(35=4,0,D34))*(1-$K35)&lt;H35,(H35-(IF(35=4,0,D34))*(1-$K35))*Hypothèses!$B$10,0)),1)</f>
        <v/>
      </c>
      <c r="E35">
        <f>ROUND(IF(MOD($A35,12)=0,I35,(IF(35=4,0,E34))*(1-$K35)+IF((IF(35=4,0,E34))*(1-$K35)&lt;I35,(I35-(IF(35=4,0,E34))*(1-$K35))*Hypothèses!$B$10,0)),1)</f>
        <v/>
      </c>
      <c r="F35">
        <f>ROUND(IF(MOD($A35,12)=0,J35,(IF(35=4,0,F34))*(1-$K35)+IF((IF(35=4,0,F34))*(1-$K35)&lt;J35,(J35-(IF(35=4,0,F34))*(1-$K35))*Hypothèses!$B$10,0)),1)</f>
        <v/>
      </c>
      <c r="G35">
        <f>(IF(B35=1,0,IF(B35=2,Hypothèses!$B$26,IF(B35=3,Hypothèses!$C$26,Hypothèses!$D$26)))+(IF(B35=1,Hypothèses!$B$26,IF(B35=2,Hypothèses!$C$26,IF(B35=3,Hypothèses!$D$26,Hypothèses!$D$26)))-(IF(B35=1,0,IF(B35=2,Hypothèses!$B$26,IF(B35=3,Hypothèses!$C$26,Hypothèses!$D$26)))))*((A35)-INT((A35-1)/12)*12)/12)*$B$1</f>
        <v/>
      </c>
      <c r="H35">
        <f>(IF(B35=1,0,IF(B35=2,Hypothèses!$B$27,IF(B35=3,Hypothèses!$C$27,Hypothèses!$D$27)))+(IF(B35=1,Hypothèses!$B$27,IF(B35=2,Hypothèses!$C$27,IF(B35=3,Hypothèses!$D$27,Hypothèses!$D$27)))-(IF(B35=1,0,IF(B35=2,Hypothèses!$B$27,IF(B35=3,Hypothèses!$C$27,Hypothèses!$D$27)))))*((A35)-INT((A35-1)/12)*12)/12)*$B$1</f>
        <v/>
      </c>
      <c r="I35">
        <f>(IF(B35=1,0,IF(B35=2,Hypothèses!$B$28,IF(B35=3,Hypothèses!$C$28,Hypothèses!$D$28)))+(IF(B35=1,Hypothèses!$B$28,IF(B35=2,Hypothèses!$C$28,IF(B35=3,Hypothèses!$D$28,Hypothèses!$D$28)))-(IF(B35=1,0,IF(B35=2,Hypothèses!$B$28,IF(B35=3,Hypothèses!$C$28,Hypothèses!$D$28)))))*((A35)-INT((A35-1)/12)*12)/12)*$B$1</f>
        <v/>
      </c>
      <c r="J35">
        <f>(IF(B35=1,0,IF(B35=2,Hypothèses!$B$29,IF(B35=3,Hypothèses!$C$29,Hypothèses!$D$29)))+(IF(B35=1,Hypothèses!$B$29,IF(B35=2,Hypothèses!$C$29,IF(B35=3,Hypothèses!$D$29,Hypothèses!$D$29)))-(IF(B35=1,0,IF(B35=2,Hypothèses!$B$29,IF(B35=3,Hypothèses!$C$29,Hypothèses!$D$29)))))*((A35)-INT((A35-1)/12)*12)/12)*$B$1</f>
        <v/>
      </c>
      <c r="K35">
        <f>IF(A35&lt;Hypothèses!$B$7,0,Hypothèses!$B$8*(1-Hypothèses!$B$9)^(A35-Hypothèses!$B$7))</f>
        <v/>
      </c>
      <c r="L35">
        <f>C35+D35+E35+F35</f>
        <v/>
      </c>
      <c r="M35">
        <f>(C35*Hypothèses!$B$11+D35*Hypothèses!$B$12+E35*Hypothèses!$B$13+F35*Hypothèses!$B$14)*(IF(B35=1,Hypothèses!$B$20,IF(B35=2,Hypothèses!$B$21,Hypothèses!$B$22))+(1-(IF(B35=1,Hypothèses!$B$20,IF(B35=2,Hypothèses!$B$21,Hypothèses!$B$22))))*11/12)</f>
        <v/>
      </c>
      <c r="N35">
        <f>L35*IF(B35=1,Hypothèses!$C$20,IF(B35=2,Hypothèses!$C$21,Hypothèses!$C$22))*IF(B35=1,Hypothèses!$D$20,IF(B35=2,Hypothèses!$D$21,Hypothèses!$D$22))</f>
        <v/>
      </c>
      <c r="O35">
        <f>IF(A35=18,IF($B$2&gt;=1,Hypothèses!$B$33,0),IF(AND(OR(A35=30,A35=34),$D$2&gt;=1),Hypothèses!$B$34*MIN(1,$D$2/3),0))</f>
        <v/>
      </c>
      <c r="P35">
        <f>M35+N35+O35</f>
        <v/>
      </c>
      <c r="Q35">
        <f>P35/(1+Hypothèses!$B$6)</f>
        <v/>
      </c>
      <c r="R35">
        <f>Hypothèses!$B$3*(1+Hypothèses!$B$4)^INT((A35-1)/3)</f>
        <v/>
      </c>
      <c r="S35">
        <f>0</f>
        <v/>
      </c>
      <c r="T35">
        <f>S35*Hypothèses!$B$17</f>
        <v/>
      </c>
      <c r="U35">
        <f>Q35*Hypothèses!$B$5</f>
        <v/>
      </c>
      <c r="V35">
        <f>Q35-R35-T35-U35</f>
        <v/>
      </c>
      <c r="W35">
        <f>W34+V35</f>
        <v/>
      </c>
    </row>
    <row r="36">
      <c r="A36" t="n">
        <v>33</v>
      </c>
      <c r="B36">
        <f>INT((A36-1)/12)+1</f>
        <v/>
      </c>
      <c r="C36">
        <f>ROUND(IF(MOD($A36,12)=0,G36,(IF(36=4,0,C35))*(1-$K36)+IF((IF(36=4,0,C35))*(1-$K36)&lt;G36,(G36-(IF(36=4,0,C35))*(1-$K36))*Hypothèses!$B$10,0)),1)</f>
        <v/>
      </c>
      <c r="D36">
        <f>ROUND(IF(MOD($A36,12)=0,H36,(IF(36=4,0,D35))*(1-$K36)+IF((IF(36=4,0,D35))*(1-$K36)&lt;H36,(H36-(IF(36=4,0,D35))*(1-$K36))*Hypothèses!$B$10,0)),1)</f>
        <v/>
      </c>
      <c r="E36">
        <f>ROUND(IF(MOD($A36,12)=0,I36,(IF(36=4,0,E35))*(1-$K36)+IF((IF(36=4,0,E35))*(1-$K36)&lt;I36,(I36-(IF(36=4,0,E35))*(1-$K36))*Hypothèses!$B$10,0)),1)</f>
        <v/>
      </c>
      <c r="F36">
        <f>ROUND(IF(MOD($A36,12)=0,J36,(IF(36=4,0,F35))*(1-$K36)+IF((IF(36=4,0,F35))*(1-$K36)&lt;J36,(J36-(IF(36=4,0,F35))*(1-$K36))*Hypothèses!$B$10,0)),1)</f>
        <v/>
      </c>
      <c r="G36">
        <f>(IF(B36=1,0,IF(B36=2,Hypothèses!$B$26,IF(B36=3,Hypothèses!$C$26,Hypothèses!$D$26)))+(IF(B36=1,Hypothèses!$B$26,IF(B36=2,Hypothèses!$C$26,IF(B36=3,Hypothèses!$D$26,Hypothèses!$D$26)))-(IF(B36=1,0,IF(B36=2,Hypothèses!$B$26,IF(B36=3,Hypothèses!$C$26,Hypothèses!$D$26)))))*((A36)-INT((A36-1)/12)*12)/12)*$B$1</f>
        <v/>
      </c>
      <c r="H36">
        <f>(IF(B36=1,0,IF(B36=2,Hypothèses!$B$27,IF(B36=3,Hypothèses!$C$27,Hypothèses!$D$27)))+(IF(B36=1,Hypothèses!$B$27,IF(B36=2,Hypothèses!$C$27,IF(B36=3,Hypothèses!$D$27,Hypothèses!$D$27)))-(IF(B36=1,0,IF(B36=2,Hypothèses!$B$27,IF(B36=3,Hypothèses!$C$27,Hypothèses!$D$27)))))*((A36)-INT((A36-1)/12)*12)/12)*$B$1</f>
        <v/>
      </c>
      <c r="I36">
        <f>(IF(B36=1,0,IF(B36=2,Hypothèses!$B$28,IF(B36=3,Hypothèses!$C$28,Hypothèses!$D$28)))+(IF(B36=1,Hypothèses!$B$28,IF(B36=2,Hypothèses!$C$28,IF(B36=3,Hypothèses!$D$28,Hypothèses!$D$28)))-(IF(B36=1,0,IF(B36=2,Hypothèses!$B$28,IF(B36=3,Hypothèses!$C$28,Hypothèses!$D$28)))))*((A36)-INT((A36-1)/12)*12)/12)*$B$1</f>
        <v/>
      </c>
      <c r="J36">
        <f>(IF(B36=1,0,IF(B36=2,Hypothèses!$B$29,IF(B36=3,Hypothèses!$C$29,Hypothèses!$D$29)))+(IF(B36=1,Hypothèses!$B$29,IF(B36=2,Hypothèses!$C$29,IF(B36=3,Hypothèses!$D$29,Hypothèses!$D$29)))-(IF(B36=1,0,IF(B36=2,Hypothèses!$B$29,IF(B36=3,Hypothèses!$C$29,Hypothèses!$D$29)))))*((A36)-INT((A36-1)/12)*12)/12)*$B$1</f>
        <v/>
      </c>
      <c r="K36">
        <f>IF(A36&lt;Hypothèses!$B$7,0,Hypothèses!$B$8*(1-Hypothèses!$B$9)^(A36-Hypothèses!$B$7))</f>
        <v/>
      </c>
      <c r="L36">
        <f>C36+D36+E36+F36</f>
        <v/>
      </c>
      <c r="M36">
        <f>(C36*Hypothèses!$B$11+D36*Hypothèses!$B$12+E36*Hypothèses!$B$13+F36*Hypothèses!$B$14)*(IF(B36=1,Hypothèses!$B$20,IF(B36=2,Hypothèses!$B$21,Hypothèses!$B$22))+(1-(IF(B36=1,Hypothèses!$B$20,IF(B36=2,Hypothèses!$B$21,Hypothèses!$B$22))))*11/12)</f>
        <v/>
      </c>
      <c r="N36">
        <f>L36*IF(B36=1,Hypothèses!$C$20,IF(B36=2,Hypothèses!$C$21,Hypothèses!$C$22))*IF(B36=1,Hypothèses!$D$20,IF(B36=2,Hypothèses!$D$21,Hypothèses!$D$22))</f>
        <v/>
      </c>
      <c r="O36">
        <f>IF(A36=18,IF($B$2&gt;=1,Hypothèses!$B$33,0),IF(AND(OR(A36=30,A36=34),$D$2&gt;=1),Hypothèses!$B$34*MIN(1,$D$2/3),0))</f>
        <v/>
      </c>
      <c r="P36">
        <f>M36+N36+O36</f>
        <v/>
      </c>
      <c r="Q36">
        <f>P36/(1+Hypothèses!$B$6)</f>
        <v/>
      </c>
      <c r="R36">
        <f>Hypothèses!$B$3*(1+Hypothèses!$B$4)^INT((A36-1)/3)</f>
        <v/>
      </c>
      <c r="S36">
        <f>0</f>
        <v/>
      </c>
      <c r="T36">
        <f>S36*Hypothèses!$B$17</f>
        <v/>
      </c>
      <c r="U36">
        <f>Q36*Hypothèses!$B$5</f>
        <v/>
      </c>
      <c r="V36">
        <f>Q36-R36-T36-U36</f>
        <v/>
      </c>
      <c r="W36">
        <f>W35+V36</f>
        <v/>
      </c>
    </row>
    <row r="37">
      <c r="A37" t="n">
        <v>34</v>
      </c>
      <c r="B37">
        <f>INT((A37-1)/12)+1</f>
        <v/>
      </c>
      <c r="C37">
        <f>ROUND(IF(MOD($A37,12)=0,G37,(IF(37=4,0,C36))*(1-$K37)+IF((IF(37=4,0,C36))*(1-$K37)&lt;G37,(G37-(IF(37=4,0,C36))*(1-$K37))*Hypothèses!$B$10,0)),1)</f>
        <v/>
      </c>
      <c r="D37">
        <f>ROUND(IF(MOD($A37,12)=0,H37,(IF(37=4,0,D36))*(1-$K37)+IF((IF(37=4,0,D36))*(1-$K37)&lt;H37,(H37-(IF(37=4,0,D36))*(1-$K37))*Hypothèses!$B$10,0)),1)</f>
        <v/>
      </c>
      <c r="E37">
        <f>ROUND(IF(MOD($A37,12)=0,I37,(IF(37=4,0,E36))*(1-$K37)+IF((IF(37=4,0,E36))*(1-$K37)&lt;I37,(I37-(IF(37=4,0,E36))*(1-$K37))*Hypothèses!$B$10,0)),1)</f>
        <v/>
      </c>
      <c r="F37">
        <f>ROUND(IF(MOD($A37,12)=0,J37,(IF(37=4,0,F36))*(1-$K37)+IF((IF(37=4,0,F36))*(1-$K37)&lt;J37,(J37-(IF(37=4,0,F36))*(1-$K37))*Hypothèses!$B$10,0)),1)</f>
        <v/>
      </c>
      <c r="G37">
        <f>(IF(B37=1,0,IF(B37=2,Hypothèses!$B$26,IF(B37=3,Hypothèses!$C$26,Hypothèses!$D$26)))+(IF(B37=1,Hypothèses!$B$26,IF(B37=2,Hypothèses!$C$26,IF(B37=3,Hypothèses!$D$26,Hypothèses!$D$26)))-(IF(B37=1,0,IF(B37=2,Hypothèses!$B$26,IF(B37=3,Hypothèses!$C$26,Hypothèses!$D$26)))))*((A37)-INT((A37-1)/12)*12)/12)*$B$1</f>
        <v/>
      </c>
      <c r="H37">
        <f>(IF(B37=1,0,IF(B37=2,Hypothèses!$B$27,IF(B37=3,Hypothèses!$C$27,Hypothèses!$D$27)))+(IF(B37=1,Hypothèses!$B$27,IF(B37=2,Hypothèses!$C$27,IF(B37=3,Hypothèses!$D$27,Hypothèses!$D$27)))-(IF(B37=1,0,IF(B37=2,Hypothèses!$B$27,IF(B37=3,Hypothèses!$C$27,Hypothèses!$D$27)))))*((A37)-INT((A37-1)/12)*12)/12)*$B$1</f>
        <v/>
      </c>
      <c r="I37">
        <f>(IF(B37=1,0,IF(B37=2,Hypothèses!$B$28,IF(B37=3,Hypothèses!$C$28,Hypothèses!$D$28)))+(IF(B37=1,Hypothèses!$B$28,IF(B37=2,Hypothèses!$C$28,IF(B37=3,Hypothèses!$D$28,Hypothèses!$D$28)))-(IF(B37=1,0,IF(B37=2,Hypothèses!$B$28,IF(B37=3,Hypothèses!$C$28,Hypothèses!$D$28)))))*((A37)-INT((A37-1)/12)*12)/12)*$B$1</f>
        <v/>
      </c>
      <c r="J37">
        <f>(IF(B37=1,0,IF(B37=2,Hypothèses!$B$29,IF(B37=3,Hypothèses!$C$29,Hypothèses!$D$29)))+(IF(B37=1,Hypothèses!$B$29,IF(B37=2,Hypothèses!$C$29,IF(B37=3,Hypothèses!$D$29,Hypothèses!$D$29)))-(IF(B37=1,0,IF(B37=2,Hypothèses!$B$29,IF(B37=3,Hypothèses!$C$29,Hypothèses!$D$29)))))*((A37)-INT((A37-1)/12)*12)/12)*$B$1</f>
        <v/>
      </c>
      <c r="K37">
        <f>IF(A37&lt;Hypothèses!$B$7,0,Hypothèses!$B$8*(1-Hypothèses!$B$9)^(A37-Hypothèses!$B$7))</f>
        <v/>
      </c>
      <c r="L37">
        <f>C37+D37+E37+F37</f>
        <v/>
      </c>
      <c r="M37">
        <f>(C37*Hypothèses!$B$11+D37*Hypothèses!$B$12+E37*Hypothèses!$B$13+F37*Hypothèses!$B$14)*(IF(B37=1,Hypothèses!$B$20,IF(B37=2,Hypothèses!$B$21,Hypothèses!$B$22))+(1-(IF(B37=1,Hypothèses!$B$20,IF(B37=2,Hypothèses!$B$21,Hypothèses!$B$22))))*11/12)</f>
        <v/>
      </c>
      <c r="N37">
        <f>L37*IF(B37=1,Hypothèses!$C$20,IF(B37=2,Hypothèses!$C$21,Hypothèses!$C$22))*IF(B37=1,Hypothèses!$D$20,IF(B37=2,Hypothèses!$D$21,Hypothèses!$D$22))</f>
        <v/>
      </c>
      <c r="O37">
        <f>IF(A37=18,IF($B$2&gt;=1,Hypothèses!$B$33,0),IF(AND(OR(A37=30,A37=34),$D$2&gt;=1),Hypothèses!$B$34*MIN(1,$D$2/3),0))</f>
        <v/>
      </c>
      <c r="P37">
        <f>M37+N37+O37</f>
        <v/>
      </c>
      <c r="Q37">
        <f>P37/(1+Hypothèses!$B$6)</f>
        <v/>
      </c>
      <c r="R37">
        <f>Hypothèses!$B$3*(1+Hypothèses!$B$4)^INT((A37-1)/3)</f>
        <v/>
      </c>
      <c r="S37">
        <f>0</f>
        <v/>
      </c>
      <c r="T37">
        <f>S37*Hypothèses!$B$17</f>
        <v/>
      </c>
      <c r="U37">
        <f>Q37*Hypothèses!$B$5</f>
        <v/>
      </c>
      <c r="V37">
        <f>Q37-R37-T37-U37</f>
        <v/>
      </c>
      <c r="W37">
        <f>W36+V37</f>
        <v/>
      </c>
    </row>
    <row r="38">
      <c r="A38" t="n">
        <v>35</v>
      </c>
      <c r="B38">
        <f>INT((A38-1)/12)+1</f>
        <v/>
      </c>
      <c r="C38">
        <f>ROUND(IF(MOD($A38,12)=0,G38,(IF(38=4,0,C37))*(1-$K38)+IF((IF(38=4,0,C37))*(1-$K38)&lt;G38,(G38-(IF(38=4,0,C37))*(1-$K38))*Hypothèses!$B$10,0)),1)</f>
        <v/>
      </c>
      <c r="D38">
        <f>ROUND(IF(MOD($A38,12)=0,H38,(IF(38=4,0,D37))*(1-$K38)+IF((IF(38=4,0,D37))*(1-$K38)&lt;H38,(H38-(IF(38=4,0,D37))*(1-$K38))*Hypothèses!$B$10,0)),1)</f>
        <v/>
      </c>
      <c r="E38">
        <f>ROUND(IF(MOD($A38,12)=0,I38,(IF(38=4,0,E37))*(1-$K38)+IF((IF(38=4,0,E37))*(1-$K38)&lt;I38,(I38-(IF(38=4,0,E37))*(1-$K38))*Hypothèses!$B$10,0)),1)</f>
        <v/>
      </c>
      <c r="F38">
        <f>ROUND(IF(MOD($A38,12)=0,J38,(IF(38=4,0,F37))*(1-$K38)+IF((IF(38=4,0,F37))*(1-$K38)&lt;J38,(J38-(IF(38=4,0,F37))*(1-$K38))*Hypothèses!$B$10,0)),1)</f>
        <v/>
      </c>
      <c r="G38">
        <f>(IF(B38=1,0,IF(B38=2,Hypothèses!$B$26,IF(B38=3,Hypothèses!$C$26,Hypothèses!$D$26)))+(IF(B38=1,Hypothèses!$B$26,IF(B38=2,Hypothèses!$C$26,IF(B38=3,Hypothèses!$D$26,Hypothèses!$D$26)))-(IF(B38=1,0,IF(B38=2,Hypothèses!$B$26,IF(B38=3,Hypothèses!$C$26,Hypothèses!$D$26)))))*((A38)-INT((A38-1)/12)*12)/12)*$B$1</f>
        <v/>
      </c>
      <c r="H38">
        <f>(IF(B38=1,0,IF(B38=2,Hypothèses!$B$27,IF(B38=3,Hypothèses!$C$27,Hypothèses!$D$27)))+(IF(B38=1,Hypothèses!$B$27,IF(B38=2,Hypothèses!$C$27,IF(B38=3,Hypothèses!$D$27,Hypothèses!$D$27)))-(IF(B38=1,0,IF(B38=2,Hypothèses!$B$27,IF(B38=3,Hypothèses!$C$27,Hypothèses!$D$27)))))*((A38)-INT((A38-1)/12)*12)/12)*$B$1</f>
        <v/>
      </c>
      <c r="I38">
        <f>(IF(B38=1,0,IF(B38=2,Hypothèses!$B$28,IF(B38=3,Hypothèses!$C$28,Hypothèses!$D$28)))+(IF(B38=1,Hypothèses!$B$28,IF(B38=2,Hypothèses!$C$28,IF(B38=3,Hypothèses!$D$28,Hypothèses!$D$28)))-(IF(B38=1,0,IF(B38=2,Hypothèses!$B$28,IF(B38=3,Hypothèses!$C$28,Hypothèses!$D$28)))))*((A38)-INT((A38-1)/12)*12)/12)*$B$1</f>
        <v/>
      </c>
      <c r="J38">
        <f>(IF(B38=1,0,IF(B38=2,Hypothèses!$B$29,IF(B38=3,Hypothèses!$C$29,Hypothèses!$D$29)))+(IF(B38=1,Hypothèses!$B$29,IF(B38=2,Hypothèses!$C$29,IF(B38=3,Hypothèses!$D$29,Hypothèses!$D$29)))-(IF(B38=1,0,IF(B38=2,Hypothèses!$B$29,IF(B38=3,Hypothèses!$C$29,Hypothèses!$D$29)))))*((A38)-INT((A38-1)/12)*12)/12)*$B$1</f>
        <v/>
      </c>
      <c r="K38">
        <f>IF(A38&lt;Hypothèses!$B$7,0,Hypothèses!$B$8*(1-Hypothèses!$B$9)^(A38-Hypothèses!$B$7))</f>
        <v/>
      </c>
      <c r="L38">
        <f>C38+D38+E38+F38</f>
        <v/>
      </c>
      <c r="M38">
        <f>(C38*Hypothèses!$B$11+D38*Hypothèses!$B$12+E38*Hypothèses!$B$13+F38*Hypothèses!$B$14)*(IF(B38=1,Hypothèses!$B$20,IF(B38=2,Hypothèses!$B$21,Hypothèses!$B$22))+(1-(IF(B38=1,Hypothèses!$B$20,IF(B38=2,Hypothèses!$B$21,Hypothèses!$B$22))))*11/12)</f>
        <v/>
      </c>
      <c r="N38">
        <f>L38*IF(B38=1,Hypothèses!$C$20,IF(B38=2,Hypothèses!$C$21,Hypothèses!$C$22))*IF(B38=1,Hypothèses!$D$20,IF(B38=2,Hypothèses!$D$21,Hypothèses!$D$22))</f>
        <v/>
      </c>
      <c r="O38">
        <f>IF(A38=18,IF($B$2&gt;=1,Hypothèses!$B$33,0),IF(AND(OR(A38=30,A38=34),$D$2&gt;=1),Hypothèses!$B$34*MIN(1,$D$2/3),0))</f>
        <v/>
      </c>
      <c r="P38">
        <f>M38+N38+O38</f>
        <v/>
      </c>
      <c r="Q38">
        <f>P38/(1+Hypothèses!$B$6)</f>
        <v/>
      </c>
      <c r="R38">
        <f>Hypothèses!$B$3*(1+Hypothèses!$B$4)^INT((A38-1)/3)</f>
        <v/>
      </c>
      <c r="S38">
        <f>0</f>
        <v/>
      </c>
      <c r="T38">
        <f>S38*Hypothèses!$B$17</f>
        <v/>
      </c>
      <c r="U38">
        <f>Q38*Hypothèses!$B$5</f>
        <v/>
      </c>
      <c r="V38">
        <f>Q38-R38-T38-U38</f>
        <v/>
      </c>
      <c r="W38">
        <f>W37+V38</f>
        <v/>
      </c>
    </row>
    <row r="39">
      <c r="A39" t="n">
        <v>36</v>
      </c>
      <c r="B39">
        <f>INT((A39-1)/12)+1</f>
        <v/>
      </c>
      <c r="C39">
        <f>ROUND(IF(MOD($A39,12)=0,G39,(IF(39=4,0,C38))*(1-$K39)+IF((IF(39=4,0,C38))*(1-$K39)&lt;G39,(G39-(IF(39=4,0,C38))*(1-$K39))*Hypothèses!$B$10,0)),1)</f>
        <v/>
      </c>
      <c r="D39">
        <f>ROUND(IF(MOD($A39,12)=0,H39,(IF(39=4,0,D38))*(1-$K39)+IF((IF(39=4,0,D38))*(1-$K39)&lt;H39,(H39-(IF(39=4,0,D38))*(1-$K39))*Hypothèses!$B$10,0)),1)</f>
        <v/>
      </c>
      <c r="E39">
        <f>ROUND(IF(MOD($A39,12)=0,I39,(IF(39=4,0,E38))*(1-$K39)+IF((IF(39=4,0,E38))*(1-$K39)&lt;I39,(I39-(IF(39=4,0,E38))*(1-$K39))*Hypothèses!$B$10,0)),1)</f>
        <v/>
      </c>
      <c r="F39">
        <f>ROUND(IF(MOD($A39,12)=0,J39,(IF(39=4,0,F38))*(1-$K39)+IF((IF(39=4,0,F38))*(1-$K39)&lt;J39,(J39-(IF(39=4,0,F38))*(1-$K39))*Hypothèses!$B$10,0)),1)</f>
        <v/>
      </c>
      <c r="G39">
        <f>(IF(B39=1,0,IF(B39=2,Hypothèses!$B$26,IF(B39=3,Hypothèses!$C$26,Hypothèses!$D$26)))+(IF(B39=1,Hypothèses!$B$26,IF(B39=2,Hypothèses!$C$26,IF(B39=3,Hypothèses!$D$26,Hypothèses!$D$26)))-(IF(B39=1,0,IF(B39=2,Hypothèses!$B$26,IF(B39=3,Hypothèses!$C$26,Hypothèses!$D$26)))))*((A39)-INT((A39-1)/12)*12)/12)*$B$1</f>
        <v/>
      </c>
      <c r="H39">
        <f>(IF(B39=1,0,IF(B39=2,Hypothèses!$B$27,IF(B39=3,Hypothèses!$C$27,Hypothèses!$D$27)))+(IF(B39=1,Hypothèses!$B$27,IF(B39=2,Hypothèses!$C$27,IF(B39=3,Hypothèses!$D$27,Hypothèses!$D$27)))-(IF(B39=1,0,IF(B39=2,Hypothèses!$B$27,IF(B39=3,Hypothèses!$C$27,Hypothèses!$D$27)))))*((A39)-INT((A39-1)/12)*12)/12)*$B$1</f>
        <v/>
      </c>
      <c r="I39">
        <f>(IF(B39=1,0,IF(B39=2,Hypothèses!$B$28,IF(B39=3,Hypothèses!$C$28,Hypothèses!$D$28)))+(IF(B39=1,Hypothèses!$B$28,IF(B39=2,Hypothèses!$C$28,IF(B39=3,Hypothèses!$D$28,Hypothèses!$D$28)))-(IF(B39=1,0,IF(B39=2,Hypothèses!$B$28,IF(B39=3,Hypothèses!$C$28,Hypothèses!$D$28)))))*((A39)-INT((A39-1)/12)*12)/12)*$B$1</f>
        <v/>
      </c>
      <c r="J39">
        <f>(IF(B39=1,0,IF(B39=2,Hypothèses!$B$29,IF(B39=3,Hypothèses!$C$29,Hypothèses!$D$29)))+(IF(B39=1,Hypothèses!$B$29,IF(B39=2,Hypothèses!$C$29,IF(B39=3,Hypothèses!$D$29,Hypothèses!$D$29)))-(IF(B39=1,0,IF(B39=2,Hypothèses!$B$29,IF(B39=3,Hypothèses!$C$29,Hypothèses!$D$29)))))*((A39)-INT((A39-1)/12)*12)/12)*$B$1</f>
        <v/>
      </c>
      <c r="K39">
        <f>IF(A39&lt;Hypothèses!$B$7,0,Hypothèses!$B$8*(1-Hypothèses!$B$9)^(A39-Hypothèses!$B$7))</f>
        <v/>
      </c>
      <c r="L39">
        <f>C39+D39+E39+F39</f>
        <v/>
      </c>
      <c r="M39">
        <f>(C39*Hypothèses!$B$11+D39*Hypothèses!$B$12+E39*Hypothèses!$B$13+F39*Hypothèses!$B$14)*(IF(B39=1,Hypothèses!$B$20,IF(B39=2,Hypothèses!$B$21,Hypothèses!$B$22))+(1-(IF(B39=1,Hypothèses!$B$20,IF(B39=2,Hypothèses!$B$21,Hypothèses!$B$22))))*11/12)</f>
        <v/>
      </c>
      <c r="N39">
        <f>L39*IF(B39=1,Hypothèses!$C$20,IF(B39=2,Hypothèses!$C$21,Hypothèses!$C$22))*IF(B39=1,Hypothèses!$D$20,IF(B39=2,Hypothèses!$D$21,Hypothèses!$D$22))</f>
        <v/>
      </c>
      <c r="O39">
        <f>IF(A39=18,IF($B$2&gt;=1,Hypothèses!$B$33,0),IF(AND(OR(A39=30,A39=34),$D$2&gt;=1),Hypothèses!$B$34*MIN(1,$D$2/3),0))</f>
        <v/>
      </c>
      <c r="P39">
        <f>M39+N39+O39</f>
        <v/>
      </c>
      <c r="Q39">
        <f>P39/(1+Hypothèses!$B$6)</f>
        <v/>
      </c>
      <c r="R39">
        <f>Hypothèses!$B$3*(1+Hypothèses!$B$4)^INT((A39-1)/3)</f>
        <v/>
      </c>
      <c r="S39">
        <f>0</f>
        <v/>
      </c>
      <c r="T39">
        <f>S39*Hypothèses!$B$17</f>
        <v/>
      </c>
      <c r="U39">
        <f>Q39*Hypothèses!$B$5</f>
        <v/>
      </c>
      <c r="V39">
        <f>Q39-R39-T39-U39</f>
        <v/>
      </c>
      <c r="W39">
        <f>W38+V39</f>
        <v/>
      </c>
    </row>
    <row r="41">
      <c r="A41" s="2" t="inlineStr">
        <is>
          <t>Synthèse annuelle</t>
        </is>
      </c>
    </row>
    <row r="42">
      <c r="A42" t="inlineStr">
        <is>
          <t>Année</t>
        </is>
      </c>
      <c r="B42" t="inlineStr">
        <is>
          <t>CA HT</t>
        </is>
      </c>
      <c r="C42" t="inlineStr">
        <is>
          <t>EBITDA</t>
        </is>
      </c>
      <c r="D42" t="inlineStr">
        <is>
          <t>Sous-traitance dev</t>
        </is>
      </c>
      <c r="E42" t="inlineStr">
        <is>
          <t>Trésorerie fin</t>
        </is>
      </c>
    </row>
    <row r="43">
      <c r="A43" t="inlineStr">
        <is>
          <t>A1</t>
        </is>
      </c>
      <c r="B43">
        <f>SUMIF($B$4:$B$39,1,$Q$4:$Q$39)</f>
        <v/>
      </c>
      <c r="C43">
        <f>SUMIF($B$4:$B$39,1,$V$4:$V$39)</f>
        <v/>
      </c>
      <c r="D43">
        <f>SUMIF($B$4:$B$39,1,$T$4:$T$39)</f>
        <v/>
      </c>
      <c r="E43">
        <f>W15</f>
        <v/>
      </c>
    </row>
    <row r="44">
      <c r="A44" t="inlineStr">
        <is>
          <t>A2</t>
        </is>
      </c>
      <c r="B44">
        <f>SUMIF($B$4:$B$39,2,$Q$4:$Q$39)</f>
        <v/>
      </c>
      <c r="C44">
        <f>SUMIF($B$4:$B$39,2,$V$4:$V$39)</f>
        <v/>
      </c>
      <c r="D44">
        <f>SUMIF($B$4:$B$39,2,$T$4:$T$39)</f>
        <v/>
      </c>
      <c r="E44">
        <f>W27</f>
        <v/>
      </c>
    </row>
    <row r="45">
      <c r="A45" t="inlineStr">
        <is>
          <t>A3</t>
        </is>
      </c>
      <c r="B45">
        <f>SUMIF($B$4:$B$39,3,$Q$4:$Q$39)</f>
        <v/>
      </c>
      <c r="C45">
        <f>SUMIF($B$4:$B$39,3,$V$4:$V$39)</f>
        <v/>
      </c>
      <c r="D45">
        <f>SUMIF($B$4:$B$39,3,$T$4:$T$39)</f>
        <v/>
      </c>
      <c r="E45">
        <f>W39</f>
        <v/>
      </c>
    </row>
    <row r="47">
      <c r="A47" s="3" t="inlineStr">
        <is>
          <t>Effectifs fin A3 (cible × facteur)</t>
        </is>
      </c>
    </row>
    <row r="48">
      <c r="A48">
        <f>ROUND(Hypothèses!$D$26*$B$1,0)&amp;" Atelier · "&amp;ROUND(Hypothèses!$D$27*$B$1,0)&amp;" Horizon · "&amp;ROUND(Hypothèses!$D$28*$B$1,0)&amp;" Enverg. · "&amp;ROUND(Hypothèses!$D$29*$B$1,0)&amp;" Rayonn."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t="inlineStr">
        <is>
          <t>Facteur clients (scénario)</t>
        </is>
      </c>
      <c r="B1" t="n">
        <v>1</v>
      </c>
    </row>
    <row r="2">
      <c r="A2" t="inlineStr">
        <is>
          <t>Zénith fin A2 (cible)</t>
        </is>
      </c>
      <c r="B2">
        <f>ROUND(Hypothèses!$C$30*$B$1,0)</f>
        <v/>
      </c>
      <c r="C2" t="inlineStr">
        <is>
          <t>Zénith fin A3 (cible)</t>
        </is>
      </c>
      <c r="D2">
        <f>ROUND(Hypothèses!$D$30*$B$1,0)</f>
        <v/>
      </c>
    </row>
    <row r="3">
      <c r="A3" s="1" t="inlineStr">
        <is>
          <t>Mois</t>
        </is>
      </c>
      <c r="B3" s="1" t="inlineStr">
        <is>
          <t>Année</t>
        </is>
      </c>
      <c r="C3" s="1" t="inlineStr">
        <is>
          <t>Atelier</t>
        </is>
      </c>
      <c r="D3" s="1" t="inlineStr">
        <is>
          <t>Horizon</t>
        </is>
      </c>
      <c r="E3" s="1" t="inlineStr">
        <is>
          <t>Envergure</t>
        </is>
      </c>
      <c r="F3" s="1" t="inlineStr">
        <is>
          <t>Rayonnement</t>
        </is>
      </c>
      <c r="G3" s="1" t="inlineStr">
        <is>
          <t>Cible Atelier</t>
        </is>
      </c>
      <c r="H3" s="1" t="inlineStr">
        <is>
          <t>Cible Horizon</t>
        </is>
      </c>
      <c r="I3" s="1" t="inlineStr">
        <is>
          <t>Cible Enverg.</t>
        </is>
      </c>
      <c r="J3" s="1" t="inlineStr">
        <is>
          <t>Cible Rayonn.</t>
        </is>
      </c>
      <c r="K3" s="1" t="inlineStr">
        <is>
          <t>Taux churn</t>
        </is>
      </c>
      <c r="L3" s="1" t="inlineStr">
        <is>
          <t>Clients payants</t>
        </is>
      </c>
      <c r="M3" s="1" t="inlineStr">
        <is>
          <t>MRR abo TTC</t>
        </is>
      </c>
      <c r="N3" s="1" t="inlineStr">
        <is>
          <t>Options TTC</t>
        </is>
      </c>
      <c r="O3" s="1" t="inlineStr">
        <is>
          <t>Zénith TTC</t>
        </is>
      </c>
      <c r="P3" s="1" t="inlineStr">
        <is>
          <t>CA TTC</t>
        </is>
      </c>
      <c r="Q3" s="1" t="inlineStr">
        <is>
          <t>CA HT</t>
        </is>
      </c>
      <c r="R3" s="1" t="inlineStr">
        <is>
          <t>Frais fixes infra</t>
        </is>
      </c>
      <c r="S3" s="1" t="inlineStr">
        <is>
          <t>Nb développeurs</t>
        </is>
      </c>
      <c r="T3" s="1" t="inlineStr">
        <is>
          <t>Sous-traitance dev (HT)</t>
        </is>
      </c>
      <c r="U3" s="1" t="inlineStr">
        <is>
          <t>Frais variables 1%</t>
        </is>
      </c>
      <c r="V3" s="1" t="inlineStr">
        <is>
          <t>EBITDA</t>
        </is>
      </c>
      <c r="W3" s="1" t="inlineStr">
        <is>
          <t>Trésorerie</t>
        </is>
      </c>
    </row>
    <row r="4">
      <c r="A4" t="n">
        <v>1</v>
      </c>
      <c r="B4">
        <f>INT((A4-1)/12)+1</f>
        <v/>
      </c>
      <c r="C4">
        <f>ROUND(IF(MOD($A4,12)=0,G4,(IF(4=4,0,C3))*(1-$K4)+IF((IF(4=4,0,C3))*(1-$K4)&lt;G4,(G4-(IF(4=4,0,C3))*(1-$K4))*Hypothèses!$B$10,0)),1)</f>
        <v/>
      </c>
      <c r="D4">
        <f>ROUND(IF(MOD($A4,12)=0,H4,(IF(4=4,0,D3))*(1-$K4)+IF((IF(4=4,0,D3))*(1-$K4)&lt;H4,(H4-(IF(4=4,0,D3))*(1-$K4))*Hypothèses!$B$10,0)),1)</f>
        <v/>
      </c>
      <c r="E4">
        <f>ROUND(IF(MOD($A4,12)=0,I4,(IF(4=4,0,E3))*(1-$K4)+IF((IF(4=4,0,E3))*(1-$K4)&lt;I4,(I4-(IF(4=4,0,E3))*(1-$K4))*Hypothèses!$B$10,0)),1)</f>
        <v/>
      </c>
      <c r="F4">
        <f>ROUND(IF(MOD($A4,12)=0,J4,(IF(4=4,0,F3))*(1-$K4)+IF((IF(4=4,0,F3))*(1-$K4)&lt;J4,(J4-(IF(4=4,0,F3))*(1-$K4))*Hypothèses!$B$10,0)),1)</f>
        <v/>
      </c>
      <c r="G4">
        <f>(IF(B4=1,0,IF(B4=2,Hypothèses!$B$26,IF(B4=3,Hypothèses!$C$26,Hypothèses!$D$26)))+(IF(B4=1,Hypothèses!$B$26,IF(B4=2,Hypothèses!$C$26,IF(B4=3,Hypothèses!$D$26,Hypothèses!$D$26)))-(IF(B4=1,0,IF(B4=2,Hypothèses!$B$26,IF(B4=3,Hypothèses!$C$26,Hypothèses!$D$26)))))*((A4)-INT((A4-1)/12)*12)/12)*$B$1</f>
        <v/>
      </c>
      <c r="H4">
        <f>(IF(B4=1,0,IF(B4=2,Hypothèses!$B$27,IF(B4=3,Hypothèses!$C$27,Hypothèses!$D$27)))+(IF(B4=1,Hypothèses!$B$27,IF(B4=2,Hypothèses!$C$27,IF(B4=3,Hypothèses!$D$27,Hypothèses!$D$27)))-(IF(B4=1,0,IF(B4=2,Hypothèses!$B$27,IF(B4=3,Hypothèses!$C$27,Hypothèses!$D$27)))))*((A4)-INT((A4-1)/12)*12)/12)*$B$1</f>
        <v/>
      </c>
      <c r="I4">
        <f>(IF(B4=1,0,IF(B4=2,Hypothèses!$B$28,IF(B4=3,Hypothèses!$C$28,Hypothèses!$D$28)))+(IF(B4=1,Hypothèses!$B$28,IF(B4=2,Hypothèses!$C$28,IF(B4=3,Hypothèses!$D$28,Hypothèses!$D$28)))-(IF(B4=1,0,IF(B4=2,Hypothèses!$B$28,IF(B4=3,Hypothèses!$C$28,Hypothèses!$D$28)))))*((A4)-INT((A4-1)/12)*12)/12)*$B$1</f>
        <v/>
      </c>
      <c r="J4">
        <f>(IF(B4=1,0,IF(B4=2,Hypothèses!$B$29,IF(B4=3,Hypothèses!$C$29,Hypothèses!$D$29)))+(IF(B4=1,Hypothèses!$B$29,IF(B4=2,Hypothèses!$C$29,IF(B4=3,Hypothèses!$D$29,Hypothèses!$D$29)))-(IF(B4=1,0,IF(B4=2,Hypothèses!$B$29,IF(B4=3,Hypothèses!$C$29,Hypothèses!$D$29)))))*((A4)-INT((A4-1)/12)*12)/12)*$B$1</f>
        <v/>
      </c>
      <c r="K4">
        <f>IF(A4&lt;Hypothèses!$B$7,0,Hypothèses!$B$8*(1-Hypothèses!$B$9)^(A4-Hypothèses!$B$7))</f>
        <v/>
      </c>
      <c r="L4">
        <f>C4+D4+E4+F4</f>
        <v/>
      </c>
      <c r="M4">
        <f>(C4*Hypothèses!$B$11+D4*Hypothèses!$B$12+E4*Hypothèses!$B$13+F4*Hypothèses!$B$14)*(IF(B4=1,Hypothèses!$B$20,IF(B4=2,Hypothèses!$B$21,Hypothèses!$B$22))+(1-(IF(B4=1,Hypothèses!$B$20,IF(B4=2,Hypothèses!$B$21,Hypothèses!$B$22))))*11/12)</f>
        <v/>
      </c>
      <c r="N4">
        <f>L4*IF(B4=1,Hypothèses!$C$20,IF(B4=2,Hypothèses!$C$21,Hypothèses!$C$22))*IF(B4=1,Hypothèses!$D$20,IF(B4=2,Hypothèses!$D$21,Hypothèses!$D$22))</f>
        <v/>
      </c>
      <c r="O4">
        <f>IF(A4=18,IF($B$2&gt;=1,Hypothèses!$B$33,0),IF(AND(OR(A4=30,A4=34),$D$2&gt;=1),Hypothèses!$B$34*MIN(1,$D$2/3),0))</f>
        <v/>
      </c>
      <c r="P4">
        <f>M4+N4+O4</f>
        <v/>
      </c>
      <c r="Q4">
        <f>P4/(1+Hypothèses!$B$6)</f>
        <v/>
      </c>
      <c r="R4">
        <f>Hypothèses!$B$3*(1+Hypothèses!$B$4)^INT((A4-1)/3)</f>
        <v/>
      </c>
      <c r="S4">
        <f>IF($A4&gt;=13,1,0)</f>
        <v/>
      </c>
      <c r="T4">
        <f>S4*Hypothèses!$B$17</f>
        <v/>
      </c>
      <c r="U4">
        <f>Q4*Hypothèses!$B$5</f>
        <v/>
      </c>
      <c r="V4">
        <f>Q4-R4-T4-U4</f>
        <v/>
      </c>
      <c r="W4">
        <f>Hypothèses!$B$2+V4</f>
        <v/>
      </c>
    </row>
    <row r="5">
      <c r="A5" t="n">
        <v>2</v>
      </c>
      <c r="B5">
        <f>INT((A5-1)/12)+1</f>
        <v/>
      </c>
      <c r="C5">
        <f>ROUND(IF(MOD($A5,12)=0,G5,(IF(5=4,0,C4))*(1-$K5)+IF((IF(5=4,0,C4))*(1-$K5)&lt;G5,(G5-(IF(5=4,0,C4))*(1-$K5))*Hypothèses!$B$10,0)),1)</f>
        <v/>
      </c>
      <c r="D5">
        <f>ROUND(IF(MOD($A5,12)=0,H5,(IF(5=4,0,D4))*(1-$K5)+IF((IF(5=4,0,D4))*(1-$K5)&lt;H5,(H5-(IF(5=4,0,D4))*(1-$K5))*Hypothèses!$B$10,0)),1)</f>
        <v/>
      </c>
      <c r="E5">
        <f>ROUND(IF(MOD($A5,12)=0,I5,(IF(5=4,0,E4))*(1-$K5)+IF((IF(5=4,0,E4))*(1-$K5)&lt;I5,(I5-(IF(5=4,0,E4))*(1-$K5))*Hypothèses!$B$10,0)),1)</f>
        <v/>
      </c>
      <c r="F5">
        <f>ROUND(IF(MOD($A5,12)=0,J5,(IF(5=4,0,F4))*(1-$K5)+IF((IF(5=4,0,F4))*(1-$K5)&lt;J5,(J5-(IF(5=4,0,F4))*(1-$K5))*Hypothèses!$B$10,0)),1)</f>
        <v/>
      </c>
      <c r="G5">
        <f>(IF(B5=1,0,IF(B5=2,Hypothèses!$B$26,IF(B5=3,Hypothèses!$C$26,Hypothèses!$D$26)))+(IF(B5=1,Hypothèses!$B$26,IF(B5=2,Hypothèses!$C$26,IF(B5=3,Hypothèses!$D$26,Hypothèses!$D$26)))-(IF(B5=1,0,IF(B5=2,Hypothèses!$B$26,IF(B5=3,Hypothèses!$C$26,Hypothèses!$D$26)))))*((A5)-INT((A5-1)/12)*12)/12)*$B$1</f>
        <v/>
      </c>
      <c r="H5">
        <f>(IF(B5=1,0,IF(B5=2,Hypothèses!$B$27,IF(B5=3,Hypothèses!$C$27,Hypothèses!$D$27)))+(IF(B5=1,Hypothèses!$B$27,IF(B5=2,Hypothèses!$C$27,IF(B5=3,Hypothèses!$D$27,Hypothèses!$D$27)))-(IF(B5=1,0,IF(B5=2,Hypothèses!$B$27,IF(B5=3,Hypothèses!$C$27,Hypothèses!$D$27)))))*((A5)-INT((A5-1)/12)*12)/12)*$B$1</f>
        <v/>
      </c>
      <c r="I5">
        <f>(IF(B5=1,0,IF(B5=2,Hypothèses!$B$28,IF(B5=3,Hypothèses!$C$28,Hypothèses!$D$28)))+(IF(B5=1,Hypothèses!$B$28,IF(B5=2,Hypothèses!$C$28,IF(B5=3,Hypothèses!$D$28,Hypothèses!$D$28)))-(IF(B5=1,0,IF(B5=2,Hypothèses!$B$28,IF(B5=3,Hypothèses!$C$28,Hypothèses!$D$28)))))*((A5)-INT((A5-1)/12)*12)/12)*$B$1</f>
        <v/>
      </c>
      <c r="J5">
        <f>(IF(B5=1,0,IF(B5=2,Hypothèses!$B$29,IF(B5=3,Hypothèses!$C$29,Hypothèses!$D$29)))+(IF(B5=1,Hypothèses!$B$29,IF(B5=2,Hypothèses!$C$29,IF(B5=3,Hypothèses!$D$29,Hypothèses!$D$29)))-(IF(B5=1,0,IF(B5=2,Hypothèses!$B$29,IF(B5=3,Hypothèses!$C$29,Hypothèses!$D$29)))))*((A5)-INT((A5-1)/12)*12)/12)*$B$1</f>
        <v/>
      </c>
      <c r="K5">
        <f>IF(A5&lt;Hypothèses!$B$7,0,Hypothèses!$B$8*(1-Hypothèses!$B$9)^(A5-Hypothèses!$B$7))</f>
        <v/>
      </c>
      <c r="L5">
        <f>C5+D5+E5+F5</f>
        <v/>
      </c>
      <c r="M5">
        <f>(C5*Hypothèses!$B$11+D5*Hypothèses!$B$12+E5*Hypothèses!$B$13+F5*Hypothèses!$B$14)*(IF(B5=1,Hypothèses!$B$20,IF(B5=2,Hypothèses!$B$21,Hypothèses!$B$22))+(1-(IF(B5=1,Hypothèses!$B$20,IF(B5=2,Hypothèses!$B$21,Hypothèses!$B$22))))*11/12)</f>
        <v/>
      </c>
      <c r="N5">
        <f>L5*IF(B5=1,Hypothèses!$C$20,IF(B5=2,Hypothèses!$C$21,Hypothèses!$C$22))*IF(B5=1,Hypothèses!$D$20,IF(B5=2,Hypothèses!$D$21,Hypothèses!$D$22))</f>
        <v/>
      </c>
      <c r="O5">
        <f>IF(A5=18,IF($B$2&gt;=1,Hypothèses!$B$33,0),IF(AND(OR(A5=30,A5=34),$D$2&gt;=1),Hypothèses!$B$34*MIN(1,$D$2/3),0))</f>
        <v/>
      </c>
      <c r="P5">
        <f>M5+N5+O5</f>
        <v/>
      </c>
      <c r="Q5">
        <f>P5/(1+Hypothèses!$B$6)</f>
        <v/>
      </c>
      <c r="R5">
        <f>Hypothèses!$B$3*(1+Hypothèses!$B$4)^INT((A5-1)/3)</f>
        <v/>
      </c>
      <c r="S5">
        <f>IF($A5&gt;=13,1,0)</f>
        <v/>
      </c>
      <c r="T5">
        <f>S5*Hypothèses!$B$17</f>
        <v/>
      </c>
      <c r="U5">
        <f>Q5*Hypothèses!$B$5</f>
        <v/>
      </c>
      <c r="V5">
        <f>Q5-R5-T5-U5</f>
        <v/>
      </c>
      <c r="W5">
        <f>W4+V5</f>
        <v/>
      </c>
    </row>
    <row r="6">
      <c r="A6" t="n">
        <v>3</v>
      </c>
      <c r="B6">
        <f>INT((A6-1)/12)+1</f>
        <v/>
      </c>
      <c r="C6">
        <f>ROUND(IF(MOD($A6,12)=0,G6,(IF(6=4,0,C5))*(1-$K6)+IF((IF(6=4,0,C5))*(1-$K6)&lt;G6,(G6-(IF(6=4,0,C5))*(1-$K6))*Hypothèses!$B$10,0)),1)</f>
        <v/>
      </c>
      <c r="D6">
        <f>ROUND(IF(MOD($A6,12)=0,H6,(IF(6=4,0,D5))*(1-$K6)+IF((IF(6=4,0,D5))*(1-$K6)&lt;H6,(H6-(IF(6=4,0,D5))*(1-$K6))*Hypothèses!$B$10,0)),1)</f>
        <v/>
      </c>
      <c r="E6">
        <f>ROUND(IF(MOD($A6,12)=0,I6,(IF(6=4,0,E5))*(1-$K6)+IF((IF(6=4,0,E5))*(1-$K6)&lt;I6,(I6-(IF(6=4,0,E5))*(1-$K6))*Hypothèses!$B$10,0)),1)</f>
        <v/>
      </c>
      <c r="F6">
        <f>ROUND(IF(MOD($A6,12)=0,J6,(IF(6=4,0,F5))*(1-$K6)+IF((IF(6=4,0,F5))*(1-$K6)&lt;J6,(J6-(IF(6=4,0,F5))*(1-$K6))*Hypothèses!$B$10,0)),1)</f>
        <v/>
      </c>
      <c r="G6">
        <f>(IF(B6=1,0,IF(B6=2,Hypothèses!$B$26,IF(B6=3,Hypothèses!$C$26,Hypothèses!$D$26)))+(IF(B6=1,Hypothèses!$B$26,IF(B6=2,Hypothèses!$C$26,IF(B6=3,Hypothèses!$D$26,Hypothèses!$D$26)))-(IF(B6=1,0,IF(B6=2,Hypothèses!$B$26,IF(B6=3,Hypothèses!$C$26,Hypothèses!$D$26)))))*((A6)-INT((A6-1)/12)*12)/12)*$B$1</f>
        <v/>
      </c>
      <c r="H6">
        <f>(IF(B6=1,0,IF(B6=2,Hypothèses!$B$27,IF(B6=3,Hypothèses!$C$27,Hypothèses!$D$27)))+(IF(B6=1,Hypothèses!$B$27,IF(B6=2,Hypothèses!$C$27,IF(B6=3,Hypothèses!$D$27,Hypothèses!$D$27)))-(IF(B6=1,0,IF(B6=2,Hypothèses!$B$27,IF(B6=3,Hypothèses!$C$27,Hypothèses!$D$27)))))*((A6)-INT((A6-1)/12)*12)/12)*$B$1</f>
        <v/>
      </c>
      <c r="I6">
        <f>(IF(B6=1,0,IF(B6=2,Hypothèses!$B$28,IF(B6=3,Hypothèses!$C$28,Hypothèses!$D$28)))+(IF(B6=1,Hypothèses!$B$28,IF(B6=2,Hypothèses!$C$28,IF(B6=3,Hypothèses!$D$28,Hypothèses!$D$28)))-(IF(B6=1,0,IF(B6=2,Hypothèses!$B$28,IF(B6=3,Hypothèses!$C$28,Hypothèses!$D$28)))))*((A6)-INT((A6-1)/12)*12)/12)*$B$1</f>
        <v/>
      </c>
      <c r="J6">
        <f>(IF(B6=1,0,IF(B6=2,Hypothèses!$B$29,IF(B6=3,Hypothèses!$C$29,Hypothèses!$D$29)))+(IF(B6=1,Hypothèses!$B$29,IF(B6=2,Hypothèses!$C$29,IF(B6=3,Hypothèses!$D$29,Hypothèses!$D$29)))-(IF(B6=1,0,IF(B6=2,Hypothèses!$B$29,IF(B6=3,Hypothèses!$C$29,Hypothèses!$D$29)))))*((A6)-INT((A6-1)/12)*12)/12)*$B$1</f>
        <v/>
      </c>
      <c r="K6">
        <f>IF(A6&lt;Hypothèses!$B$7,0,Hypothèses!$B$8*(1-Hypothèses!$B$9)^(A6-Hypothèses!$B$7))</f>
        <v/>
      </c>
      <c r="L6">
        <f>C6+D6+E6+F6</f>
        <v/>
      </c>
      <c r="M6">
        <f>(C6*Hypothèses!$B$11+D6*Hypothèses!$B$12+E6*Hypothèses!$B$13+F6*Hypothèses!$B$14)*(IF(B6=1,Hypothèses!$B$20,IF(B6=2,Hypothèses!$B$21,Hypothèses!$B$22))+(1-(IF(B6=1,Hypothèses!$B$20,IF(B6=2,Hypothèses!$B$21,Hypothèses!$B$22))))*11/12)</f>
        <v/>
      </c>
      <c r="N6">
        <f>L6*IF(B6=1,Hypothèses!$C$20,IF(B6=2,Hypothèses!$C$21,Hypothèses!$C$22))*IF(B6=1,Hypothèses!$D$20,IF(B6=2,Hypothèses!$D$21,Hypothèses!$D$22))</f>
        <v/>
      </c>
      <c r="O6">
        <f>IF(A6=18,IF($B$2&gt;=1,Hypothèses!$B$33,0),IF(AND(OR(A6=30,A6=34),$D$2&gt;=1),Hypothèses!$B$34*MIN(1,$D$2/3),0))</f>
        <v/>
      </c>
      <c r="P6">
        <f>M6+N6+O6</f>
        <v/>
      </c>
      <c r="Q6">
        <f>P6/(1+Hypothèses!$B$6)</f>
        <v/>
      </c>
      <c r="R6">
        <f>Hypothèses!$B$3*(1+Hypothèses!$B$4)^INT((A6-1)/3)</f>
        <v/>
      </c>
      <c r="S6">
        <f>IF($A6&gt;=13,1,0)</f>
        <v/>
      </c>
      <c r="T6">
        <f>S6*Hypothèses!$B$17</f>
        <v/>
      </c>
      <c r="U6">
        <f>Q6*Hypothèses!$B$5</f>
        <v/>
      </c>
      <c r="V6">
        <f>Q6-R6-T6-U6</f>
        <v/>
      </c>
      <c r="W6">
        <f>W5+V6</f>
        <v/>
      </c>
    </row>
    <row r="7">
      <c r="A7" t="n">
        <v>4</v>
      </c>
      <c r="B7">
        <f>INT((A7-1)/12)+1</f>
        <v/>
      </c>
      <c r="C7">
        <f>ROUND(IF(MOD($A7,12)=0,G7,(IF(7=4,0,C6))*(1-$K7)+IF((IF(7=4,0,C6))*(1-$K7)&lt;G7,(G7-(IF(7=4,0,C6))*(1-$K7))*Hypothèses!$B$10,0)),1)</f>
        <v/>
      </c>
      <c r="D7">
        <f>ROUND(IF(MOD($A7,12)=0,H7,(IF(7=4,0,D6))*(1-$K7)+IF((IF(7=4,0,D6))*(1-$K7)&lt;H7,(H7-(IF(7=4,0,D6))*(1-$K7))*Hypothèses!$B$10,0)),1)</f>
        <v/>
      </c>
      <c r="E7">
        <f>ROUND(IF(MOD($A7,12)=0,I7,(IF(7=4,0,E6))*(1-$K7)+IF((IF(7=4,0,E6))*(1-$K7)&lt;I7,(I7-(IF(7=4,0,E6))*(1-$K7))*Hypothèses!$B$10,0)),1)</f>
        <v/>
      </c>
      <c r="F7">
        <f>ROUND(IF(MOD($A7,12)=0,J7,(IF(7=4,0,F6))*(1-$K7)+IF((IF(7=4,0,F6))*(1-$K7)&lt;J7,(J7-(IF(7=4,0,F6))*(1-$K7))*Hypothèses!$B$10,0)),1)</f>
        <v/>
      </c>
      <c r="G7">
        <f>(IF(B7=1,0,IF(B7=2,Hypothèses!$B$26,IF(B7=3,Hypothèses!$C$26,Hypothèses!$D$26)))+(IF(B7=1,Hypothèses!$B$26,IF(B7=2,Hypothèses!$C$26,IF(B7=3,Hypothèses!$D$26,Hypothèses!$D$26)))-(IF(B7=1,0,IF(B7=2,Hypothèses!$B$26,IF(B7=3,Hypothèses!$C$26,Hypothèses!$D$26)))))*((A7)-INT((A7-1)/12)*12)/12)*$B$1</f>
        <v/>
      </c>
      <c r="H7">
        <f>(IF(B7=1,0,IF(B7=2,Hypothèses!$B$27,IF(B7=3,Hypothèses!$C$27,Hypothèses!$D$27)))+(IF(B7=1,Hypothèses!$B$27,IF(B7=2,Hypothèses!$C$27,IF(B7=3,Hypothèses!$D$27,Hypothèses!$D$27)))-(IF(B7=1,0,IF(B7=2,Hypothèses!$B$27,IF(B7=3,Hypothèses!$C$27,Hypothèses!$D$27)))))*((A7)-INT((A7-1)/12)*12)/12)*$B$1</f>
        <v/>
      </c>
      <c r="I7">
        <f>(IF(B7=1,0,IF(B7=2,Hypothèses!$B$28,IF(B7=3,Hypothèses!$C$28,Hypothèses!$D$28)))+(IF(B7=1,Hypothèses!$B$28,IF(B7=2,Hypothèses!$C$28,IF(B7=3,Hypothèses!$D$28,Hypothèses!$D$28)))-(IF(B7=1,0,IF(B7=2,Hypothèses!$B$28,IF(B7=3,Hypothèses!$C$28,Hypothèses!$D$28)))))*((A7)-INT((A7-1)/12)*12)/12)*$B$1</f>
        <v/>
      </c>
      <c r="J7">
        <f>(IF(B7=1,0,IF(B7=2,Hypothèses!$B$29,IF(B7=3,Hypothèses!$C$29,Hypothèses!$D$29)))+(IF(B7=1,Hypothèses!$B$29,IF(B7=2,Hypothèses!$C$29,IF(B7=3,Hypothèses!$D$29,Hypothèses!$D$29)))-(IF(B7=1,0,IF(B7=2,Hypothèses!$B$29,IF(B7=3,Hypothèses!$C$29,Hypothèses!$D$29)))))*((A7)-INT((A7-1)/12)*12)/12)*$B$1</f>
        <v/>
      </c>
      <c r="K7">
        <f>IF(A7&lt;Hypothèses!$B$7,0,Hypothèses!$B$8*(1-Hypothèses!$B$9)^(A7-Hypothèses!$B$7))</f>
        <v/>
      </c>
      <c r="L7">
        <f>C7+D7+E7+F7</f>
        <v/>
      </c>
      <c r="M7">
        <f>(C7*Hypothèses!$B$11+D7*Hypothèses!$B$12+E7*Hypothèses!$B$13+F7*Hypothèses!$B$14)*(IF(B7=1,Hypothèses!$B$20,IF(B7=2,Hypothèses!$B$21,Hypothèses!$B$22))+(1-(IF(B7=1,Hypothèses!$B$20,IF(B7=2,Hypothèses!$B$21,Hypothèses!$B$22))))*11/12)</f>
        <v/>
      </c>
      <c r="N7">
        <f>L7*IF(B7=1,Hypothèses!$C$20,IF(B7=2,Hypothèses!$C$21,Hypothèses!$C$22))*IF(B7=1,Hypothèses!$D$20,IF(B7=2,Hypothèses!$D$21,Hypothèses!$D$22))</f>
        <v/>
      </c>
      <c r="O7">
        <f>IF(A7=18,IF($B$2&gt;=1,Hypothèses!$B$33,0),IF(AND(OR(A7=30,A7=34),$D$2&gt;=1),Hypothèses!$B$34*MIN(1,$D$2/3),0))</f>
        <v/>
      </c>
      <c r="P7">
        <f>M7+N7+O7</f>
        <v/>
      </c>
      <c r="Q7">
        <f>P7/(1+Hypothèses!$B$6)</f>
        <v/>
      </c>
      <c r="R7">
        <f>Hypothèses!$B$3*(1+Hypothèses!$B$4)^INT((A7-1)/3)</f>
        <v/>
      </c>
      <c r="S7">
        <f>IF($A7&gt;=13,1,0)</f>
        <v/>
      </c>
      <c r="T7">
        <f>S7*Hypothèses!$B$17</f>
        <v/>
      </c>
      <c r="U7">
        <f>Q7*Hypothèses!$B$5</f>
        <v/>
      </c>
      <c r="V7">
        <f>Q7-R7-T7-U7</f>
        <v/>
      </c>
      <c r="W7">
        <f>W6+V7</f>
        <v/>
      </c>
    </row>
    <row r="8">
      <c r="A8" t="n">
        <v>5</v>
      </c>
      <c r="B8">
        <f>INT((A8-1)/12)+1</f>
        <v/>
      </c>
      <c r="C8">
        <f>ROUND(IF(MOD($A8,12)=0,G8,(IF(8=4,0,C7))*(1-$K8)+IF((IF(8=4,0,C7))*(1-$K8)&lt;G8,(G8-(IF(8=4,0,C7))*(1-$K8))*Hypothèses!$B$10,0)),1)</f>
        <v/>
      </c>
      <c r="D8">
        <f>ROUND(IF(MOD($A8,12)=0,H8,(IF(8=4,0,D7))*(1-$K8)+IF((IF(8=4,0,D7))*(1-$K8)&lt;H8,(H8-(IF(8=4,0,D7))*(1-$K8))*Hypothèses!$B$10,0)),1)</f>
        <v/>
      </c>
      <c r="E8">
        <f>ROUND(IF(MOD($A8,12)=0,I8,(IF(8=4,0,E7))*(1-$K8)+IF((IF(8=4,0,E7))*(1-$K8)&lt;I8,(I8-(IF(8=4,0,E7))*(1-$K8))*Hypothèses!$B$10,0)),1)</f>
        <v/>
      </c>
      <c r="F8">
        <f>ROUND(IF(MOD($A8,12)=0,J8,(IF(8=4,0,F7))*(1-$K8)+IF((IF(8=4,0,F7))*(1-$K8)&lt;J8,(J8-(IF(8=4,0,F7))*(1-$K8))*Hypothèses!$B$10,0)),1)</f>
        <v/>
      </c>
      <c r="G8">
        <f>(IF(B8=1,0,IF(B8=2,Hypothèses!$B$26,IF(B8=3,Hypothèses!$C$26,Hypothèses!$D$26)))+(IF(B8=1,Hypothèses!$B$26,IF(B8=2,Hypothèses!$C$26,IF(B8=3,Hypothèses!$D$26,Hypothèses!$D$26)))-(IF(B8=1,0,IF(B8=2,Hypothèses!$B$26,IF(B8=3,Hypothèses!$C$26,Hypothèses!$D$26)))))*((A8)-INT((A8-1)/12)*12)/12)*$B$1</f>
        <v/>
      </c>
      <c r="H8">
        <f>(IF(B8=1,0,IF(B8=2,Hypothèses!$B$27,IF(B8=3,Hypothèses!$C$27,Hypothèses!$D$27)))+(IF(B8=1,Hypothèses!$B$27,IF(B8=2,Hypothèses!$C$27,IF(B8=3,Hypothèses!$D$27,Hypothèses!$D$27)))-(IF(B8=1,0,IF(B8=2,Hypothèses!$B$27,IF(B8=3,Hypothèses!$C$27,Hypothèses!$D$27)))))*((A8)-INT((A8-1)/12)*12)/12)*$B$1</f>
        <v/>
      </c>
      <c r="I8">
        <f>(IF(B8=1,0,IF(B8=2,Hypothèses!$B$28,IF(B8=3,Hypothèses!$C$28,Hypothèses!$D$28)))+(IF(B8=1,Hypothèses!$B$28,IF(B8=2,Hypothèses!$C$28,IF(B8=3,Hypothèses!$D$28,Hypothèses!$D$28)))-(IF(B8=1,0,IF(B8=2,Hypothèses!$B$28,IF(B8=3,Hypothèses!$C$28,Hypothèses!$D$28)))))*((A8)-INT((A8-1)/12)*12)/12)*$B$1</f>
        <v/>
      </c>
      <c r="J8">
        <f>(IF(B8=1,0,IF(B8=2,Hypothèses!$B$29,IF(B8=3,Hypothèses!$C$29,Hypothèses!$D$29)))+(IF(B8=1,Hypothèses!$B$29,IF(B8=2,Hypothèses!$C$29,IF(B8=3,Hypothèses!$D$29,Hypothèses!$D$29)))-(IF(B8=1,0,IF(B8=2,Hypothèses!$B$29,IF(B8=3,Hypothèses!$C$29,Hypothèses!$D$29)))))*((A8)-INT((A8-1)/12)*12)/12)*$B$1</f>
        <v/>
      </c>
      <c r="K8">
        <f>IF(A8&lt;Hypothèses!$B$7,0,Hypothèses!$B$8*(1-Hypothèses!$B$9)^(A8-Hypothèses!$B$7))</f>
        <v/>
      </c>
      <c r="L8">
        <f>C8+D8+E8+F8</f>
        <v/>
      </c>
      <c r="M8">
        <f>(C8*Hypothèses!$B$11+D8*Hypothèses!$B$12+E8*Hypothèses!$B$13+F8*Hypothèses!$B$14)*(IF(B8=1,Hypothèses!$B$20,IF(B8=2,Hypothèses!$B$21,Hypothèses!$B$22))+(1-(IF(B8=1,Hypothèses!$B$20,IF(B8=2,Hypothèses!$B$21,Hypothèses!$B$22))))*11/12)</f>
        <v/>
      </c>
      <c r="N8">
        <f>L8*IF(B8=1,Hypothèses!$C$20,IF(B8=2,Hypothèses!$C$21,Hypothèses!$C$22))*IF(B8=1,Hypothèses!$D$20,IF(B8=2,Hypothèses!$D$21,Hypothèses!$D$22))</f>
        <v/>
      </c>
      <c r="O8">
        <f>IF(A8=18,IF($B$2&gt;=1,Hypothèses!$B$33,0),IF(AND(OR(A8=30,A8=34),$D$2&gt;=1),Hypothèses!$B$34*MIN(1,$D$2/3),0))</f>
        <v/>
      </c>
      <c r="P8">
        <f>M8+N8+O8</f>
        <v/>
      </c>
      <c r="Q8">
        <f>P8/(1+Hypothèses!$B$6)</f>
        <v/>
      </c>
      <c r="R8">
        <f>Hypothèses!$B$3*(1+Hypothèses!$B$4)^INT((A8-1)/3)</f>
        <v/>
      </c>
      <c r="S8">
        <f>IF($A8&gt;=13,1,0)</f>
        <v/>
      </c>
      <c r="T8">
        <f>S8*Hypothèses!$B$17</f>
        <v/>
      </c>
      <c r="U8">
        <f>Q8*Hypothèses!$B$5</f>
        <v/>
      </c>
      <c r="V8">
        <f>Q8-R8-T8-U8</f>
        <v/>
      </c>
      <c r="W8">
        <f>W7+V8</f>
        <v/>
      </c>
    </row>
    <row r="9">
      <c r="A9" t="n">
        <v>6</v>
      </c>
      <c r="B9">
        <f>INT((A9-1)/12)+1</f>
        <v/>
      </c>
      <c r="C9">
        <f>ROUND(IF(MOD($A9,12)=0,G9,(IF(9=4,0,C8))*(1-$K9)+IF((IF(9=4,0,C8))*(1-$K9)&lt;G9,(G9-(IF(9=4,0,C8))*(1-$K9))*Hypothèses!$B$10,0)),1)</f>
        <v/>
      </c>
      <c r="D9">
        <f>ROUND(IF(MOD($A9,12)=0,H9,(IF(9=4,0,D8))*(1-$K9)+IF((IF(9=4,0,D8))*(1-$K9)&lt;H9,(H9-(IF(9=4,0,D8))*(1-$K9))*Hypothèses!$B$10,0)),1)</f>
        <v/>
      </c>
      <c r="E9">
        <f>ROUND(IF(MOD($A9,12)=0,I9,(IF(9=4,0,E8))*(1-$K9)+IF((IF(9=4,0,E8))*(1-$K9)&lt;I9,(I9-(IF(9=4,0,E8))*(1-$K9))*Hypothèses!$B$10,0)),1)</f>
        <v/>
      </c>
      <c r="F9">
        <f>ROUND(IF(MOD($A9,12)=0,J9,(IF(9=4,0,F8))*(1-$K9)+IF((IF(9=4,0,F8))*(1-$K9)&lt;J9,(J9-(IF(9=4,0,F8))*(1-$K9))*Hypothèses!$B$10,0)),1)</f>
        <v/>
      </c>
      <c r="G9">
        <f>(IF(B9=1,0,IF(B9=2,Hypothèses!$B$26,IF(B9=3,Hypothèses!$C$26,Hypothèses!$D$26)))+(IF(B9=1,Hypothèses!$B$26,IF(B9=2,Hypothèses!$C$26,IF(B9=3,Hypothèses!$D$26,Hypothèses!$D$26)))-(IF(B9=1,0,IF(B9=2,Hypothèses!$B$26,IF(B9=3,Hypothèses!$C$26,Hypothèses!$D$26)))))*((A9)-INT((A9-1)/12)*12)/12)*$B$1</f>
        <v/>
      </c>
      <c r="H9">
        <f>(IF(B9=1,0,IF(B9=2,Hypothèses!$B$27,IF(B9=3,Hypothèses!$C$27,Hypothèses!$D$27)))+(IF(B9=1,Hypothèses!$B$27,IF(B9=2,Hypothèses!$C$27,IF(B9=3,Hypothèses!$D$27,Hypothèses!$D$27)))-(IF(B9=1,0,IF(B9=2,Hypothèses!$B$27,IF(B9=3,Hypothèses!$C$27,Hypothèses!$D$27)))))*((A9)-INT((A9-1)/12)*12)/12)*$B$1</f>
        <v/>
      </c>
      <c r="I9">
        <f>(IF(B9=1,0,IF(B9=2,Hypothèses!$B$28,IF(B9=3,Hypothèses!$C$28,Hypothèses!$D$28)))+(IF(B9=1,Hypothèses!$B$28,IF(B9=2,Hypothèses!$C$28,IF(B9=3,Hypothèses!$D$28,Hypothèses!$D$28)))-(IF(B9=1,0,IF(B9=2,Hypothèses!$B$28,IF(B9=3,Hypothèses!$C$28,Hypothèses!$D$28)))))*((A9)-INT((A9-1)/12)*12)/12)*$B$1</f>
        <v/>
      </c>
      <c r="J9">
        <f>(IF(B9=1,0,IF(B9=2,Hypothèses!$B$29,IF(B9=3,Hypothèses!$C$29,Hypothèses!$D$29)))+(IF(B9=1,Hypothèses!$B$29,IF(B9=2,Hypothèses!$C$29,IF(B9=3,Hypothèses!$D$29,Hypothèses!$D$29)))-(IF(B9=1,0,IF(B9=2,Hypothèses!$B$29,IF(B9=3,Hypothèses!$C$29,Hypothèses!$D$29)))))*((A9)-INT((A9-1)/12)*12)/12)*$B$1</f>
        <v/>
      </c>
      <c r="K9">
        <f>IF(A9&lt;Hypothèses!$B$7,0,Hypothèses!$B$8*(1-Hypothèses!$B$9)^(A9-Hypothèses!$B$7))</f>
        <v/>
      </c>
      <c r="L9">
        <f>C9+D9+E9+F9</f>
        <v/>
      </c>
      <c r="M9">
        <f>(C9*Hypothèses!$B$11+D9*Hypothèses!$B$12+E9*Hypothèses!$B$13+F9*Hypothèses!$B$14)*(IF(B9=1,Hypothèses!$B$20,IF(B9=2,Hypothèses!$B$21,Hypothèses!$B$22))+(1-(IF(B9=1,Hypothèses!$B$20,IF(B9=2,Hypothèses!$B$21,Hypothèses!$B$22))))*11/12)</f>
        <v/>
      </c>
      <c r="N9">
        <f>L9*IF(B9=1,Hypothèses!$C$20,IF(B9=2,Hypothèses!$C$21,Hypothèses!$C$22))*IF(B9=1,Hypothèses!$D$20,IF(B9=2,Hypothèses!$D$21,Hypothèses!$D$22))</f>
        <v/>
      </c>
      <c r="O9">
        <f>IF(A9=18,IF($B$2&gt;=1,Hypothèses!$B$33,0),IF(AND(OR(A9=30,A9=34),$D$2&gt;=1),Hypothèses!$B$34*MIN(1,$D$2/3),0))</f>
        <v/>
      </c>
      <c r="P9">
        <f>M9+N9+O9</f>
        <v/>
      </c>
      <c r="Q9">
        <f>P9/(1+Hypothèses!$B$6)</f>
        <v/>
      </c>
      <c r="R9">
        <f>Hypothèses!$B$3*(1+Hypothèses!$B$4)^INT((A9-1)/3)</f>
        <v/>
      </c>
      <c r="S9">
        <f>IF($A9&gt;=13,1,0)</f>
        <v/>
      </c>
      <c r="T9">
        <f>S9*Hypothèses!$B$17</f>
        <v/>
      </c>
      <c r="U9">
        <f>Q9*Hypothèses!$B$5</f>
        <v/>
      </c>
      <c r="V9">
        <f>Q9-R9-T9-U9</f>
        <v/>
      </c>
      <c r="W9">
        <f>W8+V9</f>
        <v/>
      </c>
    </row>
    <row r="10">
      <c r="A10" t="n">
        <v>7</v>
      </c>
      <c r="B10">
        <f>INT((A10-1)/12)+1</f>
        <v/>
      </c>
      <c r="C10">
        <f>ROUND(IF(MOD($A10,12)=0,G10,(IF(10=4,0,C9))*(1-$K10)+IF((IF(10=4,0,C9))*(1-$K10)&lt;G10,(G10-(IF(10=4,0,C9))*(1-$K10))*Hypothèses!$B$10,0)),1)</f>
        <v/>
      </c>
      <c r="D10">
        <f>ROUND(IF(MOD($A10,12)=0,H10,(IF(10=4,0,D9))*(1-$K10)+IF((IF(10=4,0,D9))*(1-$K10)&lt;H10,(H10-(IF(10=4,0,D9))*(1-$K10))*Hypothèses!$B$10,0)),1)</f>
        <v/>
      </c>
      <c r="E10">
        <f>ROUND(IF(MOD($A10,12)=0,I10,(IF(10=4,0,E9))*(1-$K10)+IF((IF(10=4,0,E9))*(1-$K10)&lt;I10,(I10-(IF(10=4,0,E9))*(1-$K10))*Hypothèses!$B$10,0)),1)</f>
        <v/>
      </c>
      <c r="F10">
        <f>ROUND(IF(MOD($A10,12)=0,J10,(IF(10=4,0,F9))*(1-$K10)+IF((IF(10=4,0,F9))*(1-$K10)&lt;J10,(J10-(IF(10=4,0,F9))*(1-$K10))*Hypothèses!$B$10,0)),1)</f>
        <v/>
      </c>
      <c r="G10">
        <f>(IF(B10=1,0,IF(B10=2,Hypothèses!$B$26,IF(B10=3,Hypothèses!$C$26,Hypothèses!$D$26)))+(IF(B10=1,Hypothèses!$B$26,IF(B10=2,Hypothèses!$C$26,IF(B10=3,Hypothèses!$D$26,Hypothèses!$D$26)))-(IF(B10=1,0,IF(B10=2,Hypothèses!$B$26,IF(B10=3,Hypothèses!$C$26,Hypothèses!$D$26)))))*((A10)-INT((A10-1)/12)*12)/12)*$B$1</f>
        <v/>
      </c>
      <c r="H10">
        <f>(IF(B10=1,0,IF(B10=2,Hypothèses!$B$27,IF(B10=3,Hypothèses!$C$27,Hypothèses!$D$27)))+(IF(B10=1,Hypothèses!$B$27,IF(B10=2,Hypothèses!$C$27,IF(B10=3,Hypothèses!$D$27,Hypothèses!$D$27)))-(IF(B10=1,0,IF(B10=2,Hypothèses!$B$27,IF(B10=3,Hypothèses!$C$27,Hypothèses!$D$27)))))*((A10)-INT((A10-1)/12)*12)/12)*$B$1</f>
        <v/>
      </c>
      <c r="I10">
        <f>(IF(B10=1,0,IF(B10=2,Hypothèses!$B$28,IF(B10=3,Hypothèses!$C$28,Hypothèses!$D$28)))+(IF(B10=1,Hypothèses!$B$28,IF(B10=2,Hypothèses!$C$28,IF(B10=3,Hypothèses!$D$28,Hypothèses!$D$28)))-(IF(B10=1,0,IF(B10=2,Hypothèses!$B$28,IF(B10=3,Hypothèses!$C$28,Hypothèses!$D$28)))))*((A10)-INT((A10-1)/12)*12)/12)*$B$1</f>
        <v/>
      </c>
      <c r="J10">
        <f>(IF(B10=1,0,IF(B10=2,Hypothèses!$B$29,IF(B10=3,Hypothèses!$C$29,Hypothèses!$D$29)))+(IF(B10=1,Hypothèses!$B$29,IF(B10=2,Hypothèses!$C$29,IF(B10=3,Hypothèses!$D$29,Hypothèses!$D$29)))-(IF(B10=1,0,IF(B10=2,Hypothèses!$B$29,IF(B10=3,Hypothèses!$C$29,Hypothèses!$D$29)))))*((A10)-INT((A10-1)/12)*12)/12)*$B$1</f>
        <v/>
      </c>
      <c r="K10">
        <f>IF(A10&lt;Hypothèses!$B$7,0,Hypothèses!$B$8*(1-Hypothèses!$B$9)^(A10-Hypothèses!$B$7))</f>
        <v/>
      </c>
      <c r="L10">
        <f>C10+D10+E10+F10</f>
        <v/>
      </c>
      <c r="M10">
        <f>(C10*Hypothèses!$B$11+D10*Hypothèses!$B$12+E10*Hypothèses!$B$13+F10*Hypothèses!$B$14)*(IF(B10=1,Hypothèses!$B$20,IF(B10=2,Hypothèses!$B$21,Hypothèses!$B$22))+(1-(IF(B10=1,Hypothèses!$B$20,IF(B10=2,Hypothèses!$B$21,Hypothèses!$B$22))))*11/12)</f>
        <v/>
      </c>
      <c r="N10">
        <f>L10*IF(B10=1,Hypothèses!$C$20,IF(B10=2,Hypothèses!$C$21,Hypothèses!$C$22))*IF(B10=1,Hypothèses!$D$20,IF(B10=2,Hypothèses!$D$21,Hypothèses!$D$22))</f>
        <v/>
      </c>
      <c r="O10">
        <f>IF(A10=18,IF($B$2&gt;=1,Hypothèses!$B$33,0),IF(AND(OR(A10=30,A10=34),$D$2&gt;=1),Hypothèses!$B$34*MIN(1,$D$2/3),0))</f>
        <v/>
      </c>
      <c r="P10">
        <f>M10+N10+O10</f>
        <v/>
      </c>
      <c r="Q10">
        <f>P10/(1+Hypothèses!$B$6)</f>
        <v/>
      </c>
      <c r="R10">
        <f>Hypothèses!$B$3*(1+Hypothèses!$B$4)^INT((A10-1)/3)</f>
        <v/>
      </c>
      <c r="S10">
        <f>IF($A10&gt;=13,1,0)</f>
        <v/>
      </c>
      <c r="T10">
        <f>S10*Hypothèses!$B$17</f>
        <v/>
      </c>
      <c r="U10">
        <f>Q10*Hypothèses!$B$5</f>
        <v/>
      </c>
      <c r="V10">
        <f>Q10-R10-T10-U10</f>
        <v/>
      </c>
      <c r="W10">
        <f>W9+V10</f>
        <v/>
      </c>
    </row>
    <row r="11">
      <c r="A11" t="n">
        <v>8</v>
      </c>
      <c r="B11">
        <f>INT((A11-1)/12)+1</f>
        <v/>
      </c>
      <c r="C11">
        <f>ROUND(IF(MOD($A11,12)=0,G11,(IF(11=4,0,C10))*(1-$K11)+IF((IF(11=4,0,C10))*(1-$K11)&lt;G11,(G11-(IF(11=4,0,C10))*(1-$K11))*Hypothèses!$B$10,0)),1)</f>
        <v/>
      </c>
      <c r="D11">
        <f>ROUND(IF(MOD($A11,12)=0,H11,(IF(11=4,0,D10))*(1-$K11)+IF((IF(11=4,0,D10))*(1-$K11)&lt;H11,(H11-(IF(11=4,0,D10))*(1-$K11))*Hypothèses!$B$10,0)),1)</f>
        <v/>
      </c>
      <c r="E11">
        <f>ROUND(IF(MOD($A11,12)=0,I11,(IF(11=4,0,E10))*(1-$K11)+IF((IF(11=4,0,E10))*(1-$K11)&lt;I11,(I11-(IF(11=4,0,E10))*(1-$K11))*Hypothèses!$B$10,0)),1)</f>
        <v/>
      </c>
      <c r="F11">
        <f>ROUND(IF(MOD($A11,12)=0,J11,(IF(11=4,0,F10))*(1-$K11)+IF((IF(11=4,0,F10))*(1-$K11)&lt;J11,(J11-(IF(11=4,0,F10))*(1-$K11))*Hypothèses!$B$10,0)),1)</f>
        <v/>
      </c>
      <c r="G11">
        <f>(IF(B11=1,0,IF(B11=2,Hypothèses!$B$26,IF(B11=3,Hypothèses!$C$26,Hypothèses!$D$26)))+(IF(B11=1,Hypothèses!$B$26,IF(B11=2,Hypothèses!$C$26,IF(B11=3,Hypothèses!$D$26,Hypothèses!$D$26)))-(IF(B11=1,0,IF(B11=2,Hypothèses!$B$26,IF(B11=3,Hypothèses!$C$26,Hypothèses!$D$26)))))*((A11)-INT((A11-1)/12)*12)/12)*$B$1</f>
        <v/>
      </c>
      <c r="H11">
        <f>(IF(B11=1,0,IF(B11=2,Hypothèses!$B$27,IF(B11=3,Hypothèses!$C$27,Hypothèses!$D$27)))+(IF(B11=1,Hypothèses!$B$27,IF(B11=2,Hypothèses!$C$27,IF(B11=3,Hypothèses!$D$27,Hypothèses!$D$27)))-(IF(B11=1,0,IF(B11=2,Hypothèses!$B$27,IF(B11=3,Hypothèses!$C$27,Hypothèses!$D$27)))))*((A11)-INT((A11-1)/12)*12)/12)*$B$1</f>
        <v/>
      </c>
      <c r="I11">
        <f>(IF(B11=1,0,IF(B11=2,Hypothèses!$B$28,IF(B11=3,Hypothèses!$C$28,Hypothèses!$D$28)))+(IF(B11=1,Hypothèses!$B$28,IF(B11=2,Hypothèses!$C$28,IF(B11=3,Hypothèses!$D$28,Hypothèses!$D$28)))-(IF(B11=1,0,IF(B11=2,Hypothèses!$B$28,IF(B11=3,Hypothèses!$C$28,Hypothèses!$D$28)))))*((A11)-INT((A11-1)/12)*12)/12)*$B$1</f>
        <v/>
      </c>
      <c r="J11">
        <f>(IF(B11=1,0,IF(B11=2,Hypothèses!$B$29,IF(B11=3,Hypothèses!$C$29,Hypothèses!$D$29)))+(IF(B11=1,Hypothèses!$B$29,IF(B11=2,Hypothèses!$C$29,IF(B11=3,Hypothèses!$D$29,Hypothèses!$D$29)))-(IF(B11=1,0,IF(B11=2,Hypothèses!$B$29,IF(B11=3,Hypothèses!$C$29,Hypothèses!$D$29)))))*((A11)-INT((A11-1)/12)*12)/12)*$B$1</f>
        <v/>
      </c>
      <c r="K11">
        <f>IF(A11&lt;Hypothèses!$B$7,0,Hypothèses!$B$8*(1-Hypothèses!$B$9)^(A11-Hypothèses!$B$7))</f>
        <v/>
      </c>
      <c r="L11">
        <f>C11+D11+E11+F11</f>
        <v/>
      </c>
      <c r="M11">
        <f>(C11*Hypothèses!$B$11+D11*Hypothèses!$B$12+E11*Hypothèses!$B$13+F11*Hypothèses!$B$14)*(IF(B11=1,Hypothèses!$B$20,IF(B11=2,Hypothèses!$B$21,Hypothèses!$B$22))+(1-(IF(B11=1,Hypothèses!$B$20,IF(B11=2,Hypothèses!$B$21,Hypothèses!$B$22))))*11/12)</f>
        <v/>
      </c>
      <c r="N11">
        <f>L11*IF(B11=1,Hypothèses!$C$20,IF(B11=2,Hypothèses!$C$21,Hypothèses!$C$22))*IF(B11=1,Hypothèses!$D$20,IF(B11=2,Hypothèses!$D$21,Hypothèses!$D$22))</f>
        <v/>
      </c>
      <c r="O11">
        <f>IF(A11=18,IF($B$2&gt;=1,Hypothèses!$B$33,0),IF(AND(OR(A11=30,A11=34),$D$2&gt;=1),Hypothèses!$B$34*MIN(1,$D$2/3),0))</f>
        <v/>
      </c>
      <c r="P11">
        <f>M11+N11+O11</f>
        <v/>
      </c>
      <c r="Q11">
        <f>P11/(1+Hypothèses!$B$6)</f>
        <v/>
      </c>
      <c r="R11">
        <f>Hypothèses!$B$3*(1+Hypothèses!$B$4)^INT((A11-1)/3)</f>
        <v/>
      </c>
      <c r="S11">
        <f>IF($A11&gt;=13,1,0)</f>
        <v/>
      </c>
      <c r="T11">
        <f>S11*Hypothèses!$B$17</f>
        <v/>
      </c>
      <c r="U11">
        <f>Q11*Hypothèses!$B$5</f>
        <v/>
      </c>
      <c r="V11">
        <f>Q11-R11-T11-U11</f>
        <v/>
      </c>
      <c r="W11">
        <f>W10+V11</f>
        <v/>
      </c>
    </row>
    <row r="12">
      <c r="A12" t="n">
        <v>9</v>
      </c>
      <c r="B12">
        <f>INT((A12-1)/12)+1</f>
        <v/>
      </c>
      <c r="C12">
        <f>ROUND(IF(MOD($A12,12)=0,G12,(IF(12=4,0,C11))*(1-$K12)+IF((IF(12=4,0,C11))*(1-$K12)&lt;G12,(G12-(IF(12=4,0,C11))*(1-$K12))*Hypothèses!$B$10,0)),1)</f>
        <v/>
      </c>
      <c r="D12">
        <f>ROUND(IF(MOD($A12,12)=0,H12,(IF(12=4,0,D11))*(1-$K12)+IF((IF(12=4,0,D11))*(1-$K12)&lt;H12,(H12-(IF(12=4,0,D11))*(1-$K12))*Hypothèses!$B$10,0)),1)</f>
        <v/>
      </c>
      <c r="E12">
        <f>ROUND(IF(MOD($A12,12)=0,I12,(IF(12=4,0,E11))*(1-$K12)+IF((IF(12=4,0,E11))*(1-$K12)&lt;I12,(I12-(IF(12=4,0,E11))*(1-$K12))*Hypothèses!$B$10,0)),1)</f>
        <v/>
      </c>
      <c r="F12">
        <f>ROUND(IF(MOD($A12,12)=0,J12,(IF(12=4,0,F11))*(1-$K12)+IF((IF(12=4,0,F11))*(1-$K12)&lt;J12,(J12-(IF(12=4,0,F11))*(1-$K12))*Hypothèses!$B$10,0)),1)</f>
        <v/>
      </c>
      <c r="G12">
        <f>(IF(B12=1,0,IF(B12=2,Hypothèses!$B$26,IF(B12=3,Hypothèses!$C$26,Hypothèses!$D$26)))+(IF(B12=1,Hypothèses!$B$26,IF(B12=2,Hypothèses!$C$26,IF(B12=3,Hypothèses!$D$26,Hypothèses!$D$26)))-(IF(B12=1,0,IF(B12=2,Hypothèses!$B$26,IF(B12=3,Hypothèses!$C$26,Hypothèses!$D$26)))))*((A12)-INT((A12-1)/12)*12)/12)*$B$1</f>
        <v/>
      </c>
      <c r="H12">
        <f>(IF(B12=1,0,IF(B12=2,Hypothèses!$B$27,IF(B12=3,Hypothèses!$C$27,Hypothèses!$D$27)))+(IF(B12=1,Hypothèses!$B$27,IF(B12=2,Hypothèses!$C$27,IF(B12=3,Hypothèses!$D$27,Hypothèses!$D$27)))-(IF(B12=1,0,IF(B12=2,Hypothèses!$B$27,IF(B12=3,Hypothèses!$C$27,Hypothèses!$D$27)))))*((A12)-INT((A12-1)/12)*12)/12)*$B$1</f>
        <v/>
      </c>
      <c r="I12">
        <f>(IF(B12=1,0,IF(B12=2,Hypothèses!$B$28,IF(B12=3,Hypothèses!$C$28,Hypothèses!$D$28)))+(IF(B12=1,Hypothèses!$B$28,IF(B12=2,Hypothèses!$C$28,IF(B12=3,Hypothèses!$D$28,Hypothèses!$D$28)))-(IF(B12=1,0,IF(B12=2,Hypothèses!$B$28,IF(B12=3,Hypothèses!$C$28,Hypothèses!$D$28)))))*((A12)-INT((A12-1)/12)*12)/12)*$B$1</f>
        <v/>
      </c>
      <c r="J12">
        <f>(IF(B12=1,0,IF(B12=2,Hypothèses!$B$29,IF(B12=3,Hypothèses!$C$29,Hypothèses!$D$29)))+(IF(B12=1,Hypothèses!$B$29,IF(B12=2,Hypothèses!$C$29,IF(B12=3,Hypothèses!$D$29,Hypothèses!$D$29)))-(IF(B12=1,0,IF(B12=2,Hypothèses!$B$29,IF(B12=3,Hypothèses!$C$29,Hypothèses!$D$29)))))*((A12)-INT((A12-1)/12)*12)/12)*$B$1</f>
        <v/>
      </c>
      <c r="K12">
        <f>IF(A12&lt;Hypothèses!$B$7,0,Hypothèses!$B$8*(1-Hypothèses!$B$9)^(A12-Hypothèses!$B$7))</f>
        <v/>
      </c>
      <c r="L12">
        <f>C12+D12+E12+F12</f>
        <v/>
      </c>
      <c r="M12">
        <f>(C12*Hypothèses!$B$11+D12*Hypothèses!$B$12+E12*Hypothèses!$B$13+F12*Hypothèses!$B$14)*(IF(B12=1,Hypothèses!$B$20,IF(B12=2,Hypothèses!$B$21,Hypothèses!$B$22))+(1-(IF(B12=1,Hypothèses!$B$20,IF(B12=2,Hypothèses!$B$21,Hypothèses!$B$22))))*11/12)</f>
        <v/>
      </c>
      <c r="N12">
        <f>L12*IF(B12=1,Hypothèses!$C$20,IF(B12=2,Hypothèses!$C$21,Hypothèses!$C$22))*IF(B12=1,Hypothèses!$D$20,IF(B12=2,Hypothèses!$D$21,Hypothèses!$D$22))</f>
        <v/>
      </c>
      <c r="O12">
        <f>IF(A12=18,IF($B$2&gt;=1,Hypothèses!$B$33,0),IF(AND(OR(A12=30,A12=34),$D$2&gt;=1),Hypothèses!$B$34*MIN(1,$D$2/3),0))</f>
        <v/>
      </c>
      <c r="P12">
        <f>M12+N12+O12</f>
        <v/>
      </c>
      <c r="Q12">
        <f>P12/(1+Hypothèses!$B$6)</f>
        <v/>
      </c>
      <c r="R12">
        <f>Hypothèses!$B$3*(1+Hypothèses!$B$4)^INT((A12-1)/3)</f>
        <v/>
      </c>
      <c r="S12">
        <f>IF($A12&gt;=13,1,0)</f>
        <v/>
      </c>
      <c r="T12">
        <f>S12*Hypothèses!$B$17</f>
        <v/>
      </c>
      <c r="U12">
        <f>Q12*Hypothèses!$B$5</f>
        <v/>
      </c>
      <c r="V12">
        <f>Q12-R12-T12-U12</f>
        <v/>
      </c>
      <c r="W12">
        <f>W11+V12</f>
        <v/>
      </c>
    </row>
    <row r="13">
      <c r="A13" t="n">
        <v>10</v>
      </c>
      <c r="B13">
        <f>INT((A13-1)/12)+1</f>
        <v/>
      </c>
      <c r="C13">
        <f>ROUND(IF(MOD($A13,12)=0,G13,(IF(13=4,0,C12))*(1-$K13)+IF((IF(13=4,0,C12))*(1-$K13)&lt;G13,(G13-(IF(13=4,0,C12))*(1-$K13))*Hypothèses!$B$10,0)),1)</f>
        <v/>
      </c>
      <c r="D13">
        <f>ROUND(IF(MOD($A13,12)=0,H13,(IF(13=4,0,D12))*(1-$K13)+IF((IF(13=4,0,D12))*(1-$K13)&lt;H13,(H13-(IF(13=4,0,D12))*(1-$K13))*Hypothèses!$B$10,0)),1)</f>
        <v/>
      </c>
      <c r="E13">
        <f>ROUND(IF(MOD($A13,12)=0,I13,(IF(13=4,0,E12))*(1-$K13)+IF((IF(13=4,0,E12))*(1-$K13)&lt;I13,(I13-(IF(13=4,0,E12))*(1-$K13))*Hypothèses!$B$10,0)),1)</f>
        <v/>
      </c>
      <c r="F13">
        <f>ROUND(IF(MOD($A13,12)=0,J13,(IF(13=4,0,F12))*(1-$K13)+IF((IF(13=4,0,F12))*(1-$K13)&lt;J13,(J13-(IF(13=4,0,F12))*(1-$K13))*Hypothèses!$B$10,0)),1)</f>
        <v/>
      </c>
      <c r="G13">
        <f>(IF(B13=1,0,IF(B13=2,Hypothèses!$B$26,IF(B13=3,Hypothèses!$C$26,Hypothèses!$D$26)))+(IF(B13=1,Hypothèses!$B$26,IF(B13=2,Hypothèses!$C$26,IF(B13=3,Hypothèses!$D$26,Hypothèses!$D$26)))-(IF(B13=1,0,IF(B13=2,Hypothèses!$B$26,IF(B13=3,Hypothèses!$C$26,Hypothèses!$D$26)))))*((A13)-INT((A13-1)/12)*12)/12)*$B$1</f>
        <v/>
      </c>
      <c r="H13">
        <f>(IF(B13=1,0,IF(B13=2,Hypothèses!$B$27,IF(B13=3,Hypothèses!$C$27,Hypothèses!$D$27)))+(IF(B13=1,Hypothèses!$B$27,IF(B13=2,Hypothèses!$C$27,IF(B13=3,Hypothèses!$D$27,Hypothèses!$D$27)))-(IF(B13=1,0,IF(B13=2,Hypothèses!$B$27,IF(B13=3,Hypothèses!$C$27,Hypothèses!$D$27)))))*((A13)-INT((A13-1)/12)*12)/12)*$B$1</f>
        <v/>
      </c>
      <c r="I13">
        <f>(IF(B13=1,0,IF(B13=2,Hypothèses!$B$28,IF(B13=3,Hypothèses!$C$28,Hypothèses!$D$28)))+(IF(B13=1,Hypothèses!$B$28,IF(B13=2,Hypothèses!$C$28,IF(B13=3,Hypothèses!$D$28,Hypothèses!$D$28)))-(IF(B13=1,0,IF(B13=2,Hypothèses!$B$28,IF(B13=3,Hypothèses!$C$28,Hypothèses!$D$28)))))*((A13)-INT((A13-1)/12)*12)/12)*$B$1</f>
        <v/>
      </c>
      <c r="J13">
        <f>(IF(B13=1,0,IF(B13=2,Hypothèses!$B$29,IF(B13=3,Hypothèses!$C$29,Hypothèses!$D$29)))+(IF(B13=1,Hypothèses!$B$29,IF(B13=2,Hypothèses!$C$29,IF(B13=3,Hypothèses!$D$29,Hypothèses!$D$29)))-(IF(B13=1,0,IF(B13=2,Hypothèses!$B$29,IF(B13=3,Hypothèses!$C$29,Hypothèses!$D$29)))))*((A13)-INT((A13-1)/12)*12)/12)*$B$1</f>
        <v/>
      </c>
      <c r="K13">
        <f>IF(A13&lt;Hypothèses!$B$7,0,Hypothèses!$B$8*(1-Hypothèses!$B$9)^(A13-Hypothèses!$B$7))</f>
        <v/>
      </c>
      <c r="L13">
        <f>C13+D13+E13+F13</f>
        <v/>
      </c>
      <c r="M13">
        <f>(C13*Hypothèses!$B$11+D13*Hypothèses!$B$12+E13*Hypothèses!$B$13+F13*Hypothèses!$B$14)*(IF(B13=1,Hypothèses!$B$20,IF(B13=2,Hypothèses!$B$21,Hypothèses!$B$22))+(1-(IF(B13=1,Hypothèses!$B$20,IF(B13=2,Hypothèses!$B$21,Hypothèses!$B$22))))*11/12)</f>
        <v/>
      </c>
      <c r="N13">
        <f>L13*IF(B13=1,Hypothèses!$C$20,IF(B13=2,Hypothèses!$C$21,Hypothèses!$C$22))*IF(B13=1,Hypothèses!$D$20,IF(B13=2,Hypothèses!$D$21,Hypothèses!$D$22))</f>
        <v/>
      </c>
      <c r="O13">
        <f>IF(A13=18,IF($B$2&gt;=1,Hypothèses!$B$33,0),IF(AND(OR(A13=30,A13=34),$D$2&gt;=1),Hypothèses!$B$34*MIN(1,$D$2/3),0))</f>
        <v/>
      </c>
      <c r="P13">
        <f>M13+N13+O13</f>
        <v/>
      </c>
      <c r="Q13">
        <f>P13/(1+Hypothèses!$B$6)</f>
        <v/>
      </c>
      <c r="R13">
        <f>Hypothèses!$B$3*(1+Hypothèses!$B$4)^INT((A13-1)/3)</f>
        <v/>
      </c>
      <c r="S13">
        <f>IF($A13&gt;=13,1,0)</f>
        <v/>
      </c>
      <c r="T13">
        <f>S13*Hypothèses!$B$17</f>
        <v/>
      </c>
      <c r="U13">
        <f>Q13*Hypothèses!$B$5</f>
        <v/>
      </c>
      <c r="V13">
        <f>Q13-R13-T13-U13</f>
        <v/>
      </c>
      <c r="W13">
        <f>W12+V13</f>
        <v/>
      </c>
    </row>
    <row r="14">
      <c r="A14" t="n">
        <v>11</v>
      </c>
      <c r="B14">
        <f>INT((A14-1)/12)+1</f>
        <v/>
      </c>
      <c r="C14">
        <f>ROUND(IF(MOD($A14,12)=0,G14,(IF(14=4,0,C13))*(1-$K14)+IF((IF(14=4,0,C13))*(1-$K14)&lt;G14,(G14-(IF(14=4,0,C13))*(1-$K14))*Hypothèses!$B$10,0)),1)</f>
        <v/>
      </c>
      <c r="D14">
        <f>ROUND(IF(MOD($A14,12)=0,H14,(IF(14=4,0,D13))*(1-$K14)+IF((IF(14=4,0,D13))*(1-$K14)&lt;H14,(H14-(IF(14=4,0,D13))*(1-$K14))*Hypothèses!$B$10,0)),1)</f>
        <v/>
      </c>
      <c r="E14">
        <f>ROUND(IF(MOD($A14,12)=0,I14,(IF(14=4,0,E13))*(1-$K14)+IF((IF(14=4,0,E13))*(1-$K14)&lt;I14,(I14-(IF(14=4,0,E13))*(1-$K14))*Hypothèses!$B$10,0)),1)</f>
        <v/>
      </c>
      <c r="F14">
        <f>ROUND(IF(MOD($A14,12)=0,J14,(IF(14=4,0,F13))*(1-$K14)+IF((IF(14=4,0,F13))*(1-$K14)&lt;J14,(J14-(IF(14=4,0,F13))*(1-$K14))*Hypothèses!$B$10,0)),1)</f>
        <v/>
      </c>
      <c r="G14">
        <f>(IF(B14=1,0,IF(B14=2,Hypothèses!$B$26,IF(B14=3,Hypothèses!$C$26,Hypothèses!$D$26)))+(IF(B14=1,Hypothèses!$B$26,IF(B14=2,Hypothèses!$C$26,IF(B14=3,Hypothèses!$D$26,Hypothèses!$D$26)))-(IF(B14=1,0,IF(B14=2,Hypothèses!$B$26,IF(B14=3,Hypothèses!$C$26,Hypothèses!$D$26)))))*((A14)-INT((A14-1)/12)*12)/12)*$B$1</f>
        <v/>
      </c>
      <c r="H14">
        <f>(IF(B14=1,0,IF(B14=2,Hypothèses!$B$27,IF(B14=3,Hypothèses!$C$27,Hypothèses!$D$27)))+(IF(B14=1,Hypothèses!$B$27,IF(B14=2,Hypothèses!$C$27,IF(B14=3,Hypothèses!$D$27,Hypothèses!$D$27)))-(IF(B14=1,0,IF(B14=2,Hypothèses!$B$27,IF(B14=3,Hypothèses!$C$27,Hypothèses!$D$27)))))*((A14)-INT((A14-1)/12)*12)/12)*$B$1</f>
        <v/>
      </c>
      <c r="I14">
        <f>(IF(B14=1,0,IF(B14=2,Hypothèses!$B$28,IF(B14=3,Hypothèses!$C$28,Hypothèses!$D$28)))+(IF(B14=1,Hypothèses!$B$28,IF(B14=2,Hypothèses!$C$28,IF(B14=3,Hypothèses!$D$28,Hypothèses!$D$28)))-(IF(B14=1,0,IF(B14=2,Hypothèses!$B$28,IF(B14=3,Hypothèses!$C$28,Hypothèses!$D$28)))))*((A14)-INT((A14-1)/12)*12)/12)*$B$1</f>
        <v/>
      </c>
      <c r="J14">
        <f>(IF(B14=1,0,IF(B14=2,Hypothèses!$B$29,IF(B14=3,Hypothèses!$C$29,Hypothèses!$D$29)))+(IF(B14=1,Hypothèses!$B$29,IF(B14=2,Hypothèses!$C$29,IF(B14=3,Hypothèses!$D$29,Hypothèses!$D$29)))-(IF(B14=1,0,IF(B14=2,Hypothèses!$B$29,IF(B14=3,Hypothèses!$C$29,Hypothèses!$D$29)))))*((A14)-INT((A14-1)/12)*12)/12)*$B$1</f>
        <v/>
      </c>
      <c r="K14">
        <f>IF(A14&lt;Hypothèses!$B$7,0,Hypothèses!$B$8*(1-Hypothèses!$B$9)^(A14-Hypothèses!$B$7))</f>
        <v/>
      </c>
      <c r="L14">
        <f>C14+D14+E14+F14</f>
        <v/>
      </c>
      <c r="M14">
        <f>(C14*Hypothèses!$B$11+D14*Hypothèses!$B$12+E14*Hypothèses!$B$13+F14*Hypothèses!$B$14)*(IF(B14=1,Hypothèses!$B$20,IF(B14=2,Hypothèses!$B$21,Hypothèses!$B$22))+(1-(IF(B14=1,Hypothèses!$B$20,IF(B14=2,Hypothèses!$B$21,Hypothèses!$B$22))))*11/12)</f>
        <v/>
      </c>
      <c r="N14">
        <f>L14*IF(B14=1,Hypothèses!$C$20,IF(B14=2,Hypothèses!$C$21,Hypothèses!$C$22))*IF(B14=1,Hypothèses!$D$20,IF(B14=2,Hypothèses!$D$21,Hypothèses!$D$22))</f>
        <v/>
      </c>
      <c r="O14">
        <f>IF(A14=18,IF($B$2&gt;=1,Hypothèses!$B$33,0),IF(AND(OR(A14=30,A14=34),$D$2&gt;=1),Hypothèses!$B$34*MIN(1,$D$2/3),0))</f>
        <v/>
      </c>
      <c r="P14">
        <f>M14+N14+O14</f>
        <v/>
      </c>
      <c r="Q14">
        <f>P14/(1+Hypothèses!$B$6)</f>
        <v/>
      </c>
      <c r="R14">
        <f>Hypothèses!$B$3*(1+Hypothèses!$B$4)^INT((A14-1)/3)</f>
        <v/>
      </c>
      <c r="S14">
        <f>IF($A14&gt;=13,1,0)</f>
        <v/>
      </c>
      <c r="T14">
        <f>S14*Hypothèses!$B$17</f>
        <v/>
      </c>
      <c r="U14">
        <f>Q14*Hypothèses!$B$5</f>
        <v/>
      </c>
      <c r="V14">
        <f>Q14-R14-T14-U14</f>
        <v/>
      </c>
      <c r="W14">
        <f>W13+V14</f>
        <v/>
      </c>
    </row>
    <row r="15">
      <c r="A15" t="n">
        <v>12</v>
      </c>
      <c r="B15">
        <f>INT((A15-1)/12)+1</f>
        <v/>
      </c>
      <c r="C15">
        <f>ROUND(IF(MOD($A15,12)=0,G15,(IF(15=4,0,C14))*(1-$K15)+IF((IF(15=4,0,C14))*(1-$K15)&lt;G15,(G15-(IF(15=4,0,C14))*(1-$K15))*Hypothèses!$B$10,0)),1)</f>
        <v/>
      </c>
      <c r="D15">
        <f>ROUND(IF(MOD($A15,12)=0,H15,(IF(15=4,0,D14))*(1-$K15)+IF((IF(15=4,0,D14))*(1-$K15)&lt;H15,(H15-(IF(15=4,0,D14))*(1-$K15))*Hypothèses!$B$10,0)),1)</f>
        <v/>
      </c>
      <c r="E15">
        <f>ROUND(IF(MOD($A15,12)=0,I15,(IF(15=4,0,E14))*(1-$K15)+IF((IF(15=4,0,E14))*(1-$K15)&lt;I15,(I15-(IF(15=4,0,E14))*(1-$K15))*Hypothèses!$B$10,0)),1)</f>
        <v/>
      </c>
      <c r="F15">
        <f>ROUND(IF(MOD($A15,12)=0,J15,(IF(15=4,0,F14))*(1-$K15)+IF((IF(15=4,0,F14))*(1-$K15)&lt;J15,(J15-(IF(15=4,0,F14))*(1-$K15))*Hypothèses!$B$10,0)),1)</f>
        <v/>
      </c>
      <c r="G15">
        <f>(IF(B15=1,0,IF(B15=2,Hypothèses!$B$26,IF(B15=3,Hypothèses!$C$26,Hypothèses!$D$26)))+(IF(B15=1,Hypothèses!$B$26,IF(B15=2,Hypothèses!$C$26,IF(B15=3,Hypothèses!$D$26,Hypothèses!$D$26)))-(IF(B15=1,0,IF(B15=2,Hypothèses!$B$26,IF(B15=3,Hypothèses!$C$26,Hypothèses!$D$26)))))*((A15)-INT((A15-1)/12)*12)/12)*$B$1</f>
        <v/>
      </c>
      <c r="H15">
        <f>(IF(B15=1,0,IF(B15=2,Hypothèses!$B$27,IF(B15=3,Hypothèses!$C$27,Hypothèses!$D$27)))+(IF(B15=1,Hypothèses!$B$27,IF(B15=2,Hypothèses!$C$27,IF(B15=3,Hypothèses!$D$27,Hypothèses!$D$27)))-(IF(B15=1,0,IF(B15=2,Hypothèses!$B$27,IF(B15=3,Hypothèses!$C$27,Hypothèses!$D$27)))))*((A15)-INT((A15-1)/12)*12)/12)*$B$1</f>
        <v/>
      </c>
      <c r="I15">
        <f>(IF(B15=1,0,IF(B15=2,Hypothèses!$B$28,IF(B15=3,Hypothèses!$C$28,Hypothèses!$D$28)))+(IF(B15=1,Hypothèses!$B$28,IF(B15=2,Hypothèses!$C$28,IF(B15=3,Hypothèses!$D$28,Hypothèses!$D$28)))-(IF(B15=1,0,IF(B15=2,Hypothèses!$B$28,IF(B15=3,Hypothèses!$C$28,Hypothèses!$D$28)))))*((A15)-INT((A15-1)/12)*12)/12)*$B$1</f>
        <v/>
      </c>
      <c r="J15">
        <f>(IF(B15=1,0,IF(B15=2,Hypothèses!$B$29,IF(B15=3,Hypothèses!$C$29,Hypothèses!$D$29)))+(IF(B15=1,Hypothèses!$B$29,IF(B15=2,Hypothèses!$C$29,IF(B15=3,Hypothèses!$D$29,Hypothèses!$D$29)))-(IF(B15=1,0,IF(B15=2,Hypothèses!$B$29,IF(B15=3,Hypothèses!$C$29,Hypothèses!$D$29)))))*((A15)-INT((A15-1)/12)*12)/12)*$B$1</f>
        <v/>
      </c>
      <c r="K15">
        <f>IF(A15&lt;Hypothèses!$B$7,0,Hypothèses!$B$8*(1-Hypothèses!$B$9)^(A15-Hypothèses!$B$7))</f>
        <v/>
      </c>
      <c r="L15">
        <f>C15+D15+E15+F15</f>
        <v/>
      </c>
      <c r="M15">
        <f>(C15*Hypothèses!$B$11+D15*Hypothèses!$B$12+E15*Hypothèses!$B$13+F15*Hypothèses!$B$14)*(IF(B15=1,Hypothèses!$B$20,IF(B15=2,Hypothèses!$B$21,Hypothèses!$B$22))+(1-(IF(B15=1,Hypothèses!$B$20,IF(B15=2,Hypothèses!$B$21,Hypothèses!$B$22))))*11/12)</f>
        <v/>
      </c>
      <c r="N15">
        <f>L15*IF(B15=1,Hypothèses!$C$20,IF(B15=2,Hypothèses!$C$21,Hypothèses!$C$22))*IF(B15=1,Hypothèses!$D$20,IF(B15=2,Hypothèses!$D$21,Hypothèses!$D$22))</f>
        <v/>
      </c>
      <c r="O15">
        <f>IF(A15=18,IF($B$2&gt;=1,Hypothèses!$B$33,0),IF(AND(OR(A15=30,A15=34),$D$2&gt;=1),Hypothèses!$B$34*MIN(1,$D$2/3),0))</f>
        <v/>
      </c>
      <c r="P15">
        <f>M15+N15+O15</f>
        <v/>
      </c>
      <c r="Q15">
        <f>P15/(1+Hypothèses!$B$6)</f>
        <v/>
      </c>
      <c r="R15">
        <f>Hypothèses!$B$3*(1+Hypothèses!$B$4)^INT((A15-1)/3)</f>
        <v/>
      </c>
      <c r="S15">
        <f>IF($A15&gt;=13,1,0)</f>
        <v/>
      </c>
      <c r="T15">
        <f>S15*Hypothèses!$B$17</f>
        <v/>
      </c>
      <c r="U15">
        <f>Q15*Hypothèses!$B$5</f>
        <v/>
      </c>
      <c r="V15">
        <f>Q15-R15-T15-U15</f>
        <v/>
      </c>
      <c r="W15">
        <f>W14+V15</f>
        <v/>
      </c>
    </row>
    <row r="16">
      <c r="A16" t="n">
        <v>13</v>
      </c>
      <c r="B16">
        <f>INT((A16-1)/12)+1</f>
        <v/>
      </c>
      <c r="C16">
        <f>ROUND(IF(MOD($A16,12)=0,G16,(IF(16=4,0,C15))*(1-$K16)+IF((IF(16=4,0,C15))*(1-$K16)&lt;G16,(G16-(IF(16=4,0,C15))*(1-$K16))*Hypothèses!$B$10,0)),1)</f>
        <v/>
      </c>
      <c r="D16">
        <f>ROUND(IF(MOD($A16,12)=0,H16,(IF(16=4,0,D15))*(1-$K16)+IF((IF(16=4,0,D15))*(1-$K16)&lt;H16,(H16-(IF(16=4,0,D15))*(1-$K16))*Hypothèses!$B$10,0)),1)</f>
        <v/>
      </c>
      <c r="E16">
        <f>ROUND(IF(MOD($A16,12)=0,I16,(IF(16=4,0,E15))*(1-$K16)+IF((IF(16=4,0,E15))*(1-$K16)&lt;I16,(I16-(IF(16=4,0,E15))*(1-$K16))*Hypothèses!$B$10,0)),1)</f>
        <v/>
      </c>
      <c r="F16">
        <f>ROUND(IF(MOD($A16,12)=0,J16,(IF(16=4,0,F15))*(1-$K16)+IF((IF(16=4,0,F15))*(1-$K16)&lt;J16,(J16-(IF(16=4,0,F15))*(1-$K16))*Hypothèses!$B$10,0)),1)</f>
        <v/>
      </c>
      <c r="G16">
        <f>(IF(B16=1,0,IF(B16=2,Hypothèses!$B$26,IF(B16=3,Hypothèses!$C$26,Hypothèses!$D$26)))+(IF(B16=1,Hypothèses!$B$26,IF(B16=2,Hypothèses!$C$26,IF(B16=3,Hypothèses!$D$26,Hypothèses!$D$26)))-(IF(B16=1,0,IF(B16=2,Hypothèses!$B$26,IF(B16=3,Hypothèses!$C$26,Hypothèses!$D$26)))))*((A16)-INT((A16-1)/12)*12)/12)*$B$1</f>
        <v/>
      </c>
      <c r="H16">
        <f>(IF(B16=1,0,IF(B16=2,Hypothèses!$B$27,IF(B16=3,Hypothèses!$C$27,Hypothèses!$D$27)))+(IF(B16=1,Hypothèses!$B$27,IF(B16=2,Hypothèses!$C$27,IF(B16=3,Hypothèses!$D$27,Hypothèses!$D$27)))-(IF(B16=1,0,IF(B16=2,Hypothèses!$B$27,IF(B16=3,Hypothèses!$C$27,Hypothèses!$D$27)))))*((A16)-INT((A16-1)/12)*12)/12)*$B$1</f>
        <v/>
      </c>
      <c r="I16">
        <f>(IF(B16=1,0,IF(B16=2,Hypothèses!$B$28,IF(B16=3,Hypothèses!$C$28,Hypothèses!$D$28)))+(IF(B16=1,Hypothèses!$B$28,IF(B16=2,Hypothèses!$C$28,IF(B16=3,Hypothèses!$D$28,Hypothèses!$D$28)))-(IF(B16=1,0,IF(B16=2,Hypothèses!$B$28,IF(B16=3,Hypothèses!$C$28,Hypothèses!$D$28)))))*((A16)-INT((A16-1)/12)*12)/12)*$B$1</f>
        <v/>
      </c>
      <c r="J16">
        <f>(IF(B16=1,0,IF(B16=2,Hypothèses!$B$29,IF(B16=3,Hypothèses!$C$29,Hypothèses!$D$29)))+(IF(B16=1,Hypothèses!$B$29,IF(B16=2,Hypothèses!$C$29,IF(B16=3,Hypothèses!$D$29,Hypothèses!$D$29)))-(IF(B16=1,0,IF(B16=2,Hypothèses!$B$29,IF(B16=3,Hypothèses!$C$29,Hypothèses!$D$29)))))*((A16)-INT((A16-1)/12)*12)/12)*$B$1</f>
        <v/>
      </c>
      <c r="K16">
        <f>IF(A16&lt;Hypothèses!$B$7,0,Hypothèses!$B$8*(1-Hypothèses!$B$9)^(A16-Hypothèses!$B$7))</f>
        <v/>
      </c>
      <c r="L16">
        <f>C16+D16+E16+F16</f>
        <v/>
      </c>
      <c r="M16">
        <f>(C16*Hypothèses!$B$11+D16*Hypothèses!$B$12+E16*Hypothèses!$B$13+F16*Hypothèses!$B$14)*(IF(B16=1,Hypothèses!$B$20,IF(B16=2,Hypothèses!$B$21,Hypothèses!$B$22))+(1-(IF(B16=1,Hypothèses!$B$20,IF(B16=2,Hypothèses!$B$21,Hypothèses!$B$22))))*11/12)</f>
        <v/>
      </c>
      <c r="N16">
        <f>L16*IF(B16=1,Hypothèses!$C$20,IF(B16=2,Hypothèses!$C$21,Hypothèses!$C$22))*IF(B16=1,Hypothèses!$D$20,IF(B16=2,Hypothèses!$D$21,Hypothèses!$D$22))</f>
        <v/>
      </c>
      <c r="O16">
        <f>IF(A16=18,IF($B$2&gt;=1,Hypothèses!$B$33,0),IF(AND(OR(A16=30,A16=34),$D$2&gt;=1),Hypothèses!$B$34*MIN(1,$D$2/3),0))</f>
        <v/>
      </c>
      <c r="P16">
        <f>M16+N16+O16</f>
        <v/>
      </c>
      <c r="Q16">
        <f>P16/(1+Hypothèses!$B$6)</f>
        <v/>
      </c>
      <c r="R16">
        <f>Hypothèses!$B$3*(1+Hypothèses!$B$4)^INT((A16-1)/3)</f>
        <v/>
      </c>
      <c r="S16">
        <f>IF($A16&gt;=13,1,0)</f>
        <v/>
      </c>
      <c r="T16">
        <f>S16*Hypothèses!$B$17</f>
        <v/>
      </c>
      <c r="U16">
        <f>Q16*Hypothèses!$B$5</f>
        <v/>
      </c>
      <c r="V16">
        <f>Q16-R16-T16-U16</f>
        <v/>
      </c>
      <c r="W16">
        <f>W15+V16</f>
        <v/>
      </c>
    </row>
    <row r="17">
      <c r="A17" t="n">
        <v>14</v>
      </c>
      <c r="B17">
        <f>INT((A17-1)/12)+1</f>
        <v/>
      </c>
      <c r="C17">
        <f>ROUND(IF(MOD($A17,12)=0,G17,(IF(17=4,0,C16))*(1-$K17)+IF((IF(17=4,0,C16))*(1-$K17)&lt;G17,(G17-(IF(17=4,0,C16))*(1-$K17))*Hypothèses!$B$10,0)),1)</f>
        <v/>
      </c>
      <c r="D17">
        <f>ROUND(IF(MOD($A17,12)=0,H17,(IF(17=4,0,D16))*(1-$K17)+IF((IF(17=4,0,D16))*(1-$K17)&lt;H17,(H17-(IF(17=4,0,D16))*(1-$K17))*Hypothèses!$B$10,0)),1)</f>
        <v/>
      </c>
      <c r="E17">
        <f>ROUND(IF(MOD($A17,12)=0,I17,(IF(17=4,0,E16))*(1-$K17)+IF((IF(17=4,0,E16))*(1-$K17)&lt;I17,(I17-(IF(17=4,0,E16))*(1-$K17))*Hypothèses!$B$10,0)),1)</f>
        <v/>
      </c>
      <c r="F17">
        <f>ROUND(IF(MOD($A17,12)=0,J17,(IF(17=4,0,F16))*(1-$K17)+IF((IF(17=4,0,F16))*(1-$K17)&lt;J17,(J17-(IF(17=4,0,F16))*(1-$K17))*Hypothèses!$B$10,0)),1)</f>
        <v/>
      </c>
      <c r="G17">
        <f>(IF(B17=1,0,IF(B17=2,Hypothèses!$B$26,IF(B17=3,Hypothèses!$C$26,Hypothèses!$D$26)))+(IF(B17=1,Hypothèses!$B$26,IF(B17=2,Hypothèses!$C$26,IF(B17=3,Hypothèses!$D$26,Hypothèses!$D$26)))-(IF(B17=1,0,IF(B17=2,Hypothèses!$B$26,IF(B17=3,Hypothèses!$C$26,Hypothèses!$D$26)))))*((A17)-INT((A17-1)/12)*12)/12)*$B$1</f>
        <v/>
      </c>
      <c r="H17">
        <f>(IF(B17=1,0,IF(B17=2,Hypothèses!$B$27,IF(B17=3,Hypothèses!$C$27,Hypothèses!$D$27)))+(IF(B17=1,Hypothèses!$B$27,IF(B17=2,Hypothèses!$C$27,IF(B17=3,Hypothèses!$D$27,Hypothèses!$D$27)))-(IF(B17=1,0,IF(B17=2,Hypothèses!$B$27,IF(B17=3,Hypothèses!$C$27,Hypothèses!$D$27)))))*((A17)-INT((A17-1)/12)*12)/12)*$B$1</f>
        <v/>
      </c>
      <c r="I17">
        <f>(IF(B17=1,0,IF(B17=2,Hypothèses!$B$28,IF(B17=3,Hypothèses!$C$28,Hypothèses!$D$28)))+(IF(B17=1,Hypothèses!$B$28,IF(B17=2,Hypothèses!$C$28,IF(B17=3,Hypothèses!$D$28,Hypothèses!$D$28)))-(IF(B17=1,0,IF(B17=2,Hypothèses!$B$28,IF(B17=3,Hypothèses!$C$28,Hypothèses!$D$28)))))*((A17)-INT((A17-1)/12)*12)/12)*$B$1</f>
        <v/>
      </c>
      <c r="J17">
        <f>(IF(B17=1,0,IF(B17=2,Hypothèses!$B$29,IF(B17=3,Hypothèses!$C$29,Hypothèses!$D$29)))+(IF(B17=1,Hypothèses!$B$29,IF(B17=2,Hypothèses!$C$29,IF(B17=3,Hypothèses!$D$29,Hypothèses!$D$29)))-(IF(B17=1,0,IF(B17=2,Hypothèses!$B$29,IF(B17=3,Hypothèses!$C$29,Hypothèses!$D$29)))))*((A17)-INT((A17-1)/12)*12)/12)*$B$1</f>
        <v/>
      </c>
      <c r="K17">
        <f>IF(A17&lt;Hypothèses!$B$7,0,Hypothèses!$B$8*(1-Hypothèses!$B$9)^(A17-Hypothèses!$B$7))</f>
        <v/>
      </c>
      <c r="L17">
        <f>C17+D17+E17+F17</f>
        <v/>
      </c>
      <c r="M17">
        <f>(C17*Hypothèses!$B$11+D17*Hypothèses!$B$12+E17*Hypothèses!$B$13+F17*Hypothèses!$B$14)*(IF(B17=1,Hypothèses!$B$20,IF(B17=2,Hypothèses!$B$21,Hypothèses!$B$22))+(1-(IF(B17=1,Hypothèses!$B$20,IF(B17=2,Hypothèses!$B$21,Hypothèses!$B$22))))*11/12)</f>
        <v/>
      </c>
      <c r="N17">
        <f>L17*IF(B17=1,Hypothèses!$C$20,IF(B17=2,Hypothèses!$C$21,Hypothèses!$C$22))*IF(B17=1,Hypothèses!$D$20,IF(B17=2,Hypothèses!$D$21,Hypothèses!$D$22))</f>
        <v/>
      </c>
      <c r="O17">
        <f>IF(A17=18,IF($B$2&gt;=1,Hypothèses!$B$33,0),IF(AND(OR(A17=30,A17=34),$D$2&gt;=1),Hypothèses!$B$34*MIN(1,$D$2/3),0))</f>
        <v/>
      </c>
      <c r="P17">
        <f>M17+N17+O17</f>
        <v/>
      </c>
      <c r="Q17">
        <f>P17/(1+Hypothèses!$B$6)</f>
        <v/>
      </c>
      <c r="R17">
        <f>Hypothèses!$B$3*(1+Hypothèses!$B$4)^INT((A17-1)/3)</f>
        <v/>
      </c>
      <c r="S17">
        <f>IF($A17&gt;=13,1,0)</f>
        <v/>
      </c>
      <c r="T17">
        <f>S17*Hypothèses!$B$17</f>
        <v/>
      </c>
      <c r="U17">
        <f>Q17*Hypothèses!$B$5</f>
        <v/>
      </c>
      <c r="V17">
        <f>Q17-R17-T17-U17</f>
        <v/>
      </c>
      <c r="W17">
        <f>W16+V17</f>
        <v/>
      </c>
    </row>
    <row r="18">
      <c r="A18" t="n">
        <v>15</v>
      </c>
      <c r="B18">
        <f>INT((A18-1)/12)+1</f>
        <v/>
      </c>
      <c r="C18">
        <f>ROUND(IF(MOD($A18,12)=0,G18,(IF(18=4,0,C17))*(1-$K18)+IF((IF(18=4,0,C17))*(1-$K18)&lt;G18,(G18-(IF(18=4,0,C17))*(1-$K18))*Hypothèses!$B$10,0)),1)</f>
        <v/>
      </c>
      <c r="D18">
        <f>ROUND(IF(MOD($A18,12)=0,H18,(IF(18=4,0,D17))*(1-$K18)+IF((IF(18=4,0,D17))*(1-$K18)&lt;H18,(H18-(IF(18=4,0,D17))*(1-$K18))*Hypothèses!$B$10,0)),1)</f>
        <v/>
      </c>
      <c r="E18">
        <f>ROUND(IF(MOD($A18,12)=0,I18,(IF(18=4,0,E17))*(1-$K18)+IF((IF(18=4,0,E17))*(1-$K18)&lt;I18,(I18-(IF(18=4,0,E17))*(1-$K18))*Hypothèses!$B$10,0)),1)</f>
        <v/>
      </c>
      <c r="F18">
        <f>ROUND(IF(MOD($A18,12)=0,J18,(IF(18=4,0,F17))*(1-$K18)+IF((IF(18=4,0,F17))*(1-$K18)&lt;J18,(J18-(IF(18=4,0,F17))*(1-$K18))*Hypothèses!$B$10,0)),1)</f>
        <v/>
      </c>
      <c r="G18">
        <f>(IF(B18=1,0,IF(B18=2,Hypothèses!$B$26,IF(B18=3,Hypothèses!$C$26,Hypothèses!$D$26)))+(IF(B18=1,Hypothèses!$B$26,IF(B18=2,Hypothèses!$C$26,IF(B18=3,Hypothèses!$D$26,Hypothèses!$D$26)))-(IF(B18=1,0,IF(B18=2,Hypothèses!$B$26,IF(B18=3,Hypothèses!$C$26,Hypothèses!$D$26)))))*((A18)-INT((A18-1)/12)*12)/12)*$B$1</f>
        <v/>
      </c>
      <c r="H18">
        <f>(IF(B18=1,0,IF(B18=2,Hypothèses!$B$27,IF(B18=3,Hypothèses!$C$27,Hypothèses!$D$27)))+(IF(B18=1,Hypothèses!$B$27,IF(B18=2,Hypothèses!$C$27,IF(B18=3,Hypothèses!$D$27,Hypothèses!$D$27)))-(IF(B18=1,0,IF(B18=2,Hypothèses!$B$27,IF(B18=3,Hypothèses!$C$27,Hypothèses!$D$27)))))*((A18)-INT((A18-1)/12)*12)/12)*$B$1</f>
        <v/>
      </c>
      <c r="I18">
        <f>(IF(B18=1,0,IF(B18=2,Hypothèses!$B$28,IF(B18=3,Hypothèses!$C$28,Hypothèses!$D$28)))+(IF(B18=1,Hypothèses!$B$28,IF(B18=2,Hypothèses!$C$28,IF(B18=3,Hypothèses!$D$28,Hypothèses!$D$28)))-(IF(B18=1,0,IF(B18=2,Hypothèses!$B$28,IF(B18=3,Hypothèses!$C$28,Hypothèses!$D$28)))))*((A18)-INT((A18-1)/12)*12)/12)*$B$1</f>
        <v/>
      </c>
      <c r="J18">
        <f>(IF(B18=1,0,IF(B18=2,Hypothèses!$B$29,IF(B18=3,Hypothèses!$C$29,Hypothèses!$D$29)))+(IF(B18=1,Hypothèses!$B$29,IF(B18=2,Hypothèses!$C$29,IF(B18=3,Hypothèses!$D$29,Hypothèses!$D$29)))-(IF(B18=1,0,IF(B18=2,Hypothèses!$B$29,IF(B18=3,Hypothèses!$C$29,Hypothèses!$D$29)))))*((A18)-INT((A18-1)/12)*12)/12)*$B$1</f>
        <v/>
      </c>
      <c r="K18">
        <f>IF(A18&lt;Hypothèses!$B$7,0,Hypothèses!$B$8*(1-Hypothèses!$B$9)^(A18-Hypothèses!$B$7))</f>
        <v/>
      </c>
      <c r="L18">
        <f>C18+D18+E18+F18</f>
        <v/>
      </c>
      <c r="M18">
        <f>(C18*Hypothèses!$B$11+D18*Hypothèses!$B$12+E18*Hypothèses!$B$13+F18*Hypothèses!$B$14)*(IF(B18=1,Hypothèses!$B$20,IF(B18=2,Hypothèses!$B$21,Hypothèses!$B$22))+(1-(IF(B18=1,Hypothèses!$B$20,IF(B18=2,Hypothèses!$B$21,Hypothèses!$B$22))))*11/12)</f>
        <v/>
      </c>
      <c r="N18">
        <f>L18*IF(B18=1,Hypothèses!$C$20,IF(B18=2,Hypothèses!$C$21,Hypothèses!$C$22))*IF(B18=1,Hypothèses!$D$20,IF(B18=2,Hypothèses!$D$21,Hypothèses!$D$22))</f>
        <v/>
      </c>
      <c r="O18">
        <f>IF(A18=18,IF($B$2&gt;=1,Hypothèses!$B$33,0),IF(AND(OR(A18=30,A18=34),$D$2&gt;=1),Hypothèses!$B$34*MIN(1,$D$2/3),0))</f>
        <v/>
      </c>
      <c r="P18">
        <f>M18+N18+O18</f>
        <v/>
      </c>
      <c r="Q18">
        <f>P18/(1+Hypothèses!$B$6)</f>
        <v/>
      </c>
      <c r="R18">
        <f>Hypothèses!$B$3*(1+Hypothèses!$B$4)^INT((A18-1)/3)</f>
        <v/>
      </c>
      <c r="S18">
        <f>IF($A18&gt;=13,1,0)</f>
        <v/>
      </c>
      <c r="T18">
        <f>S18*Hypothèses!$B$17</f>
        <v/>
      </c>
      <c r="U18">
        <f>Q18*Hypothèses!$B$5</f>
        <v/>
      </c>
      <c r="V18">
        <f>Q18-R18-T18-U18</f>
        <v/>
      </c>
      <c r="W18">
        <f>W17+V18</f>
        <v/>
      </c>
    </row>
    <row r="19">
      <c r="A19" t="n">
        <v>16</v>
      </c>
      <c r="B19">
        <f>INT((A19-1)/12)+1</f>
        <v/>
      </c>
      <c r="C19">
        <f>ROUND(IF(MOD($A19,12)=0,G19,(IF(19=4,0,C18))*(1-$K19)+IF((IF(19=4,0,C18))*(1-$K19)&lt;G19,(G19-(IF(19=4,0,C18))*(1-$K19))*Hypothèses!$B$10,0)),1)</f>
        <v/>
      </c>
      <c r="D19">
        <f>ROUND(IF(MOD($A19,12)=0,H19,(IF(19=4,0,D18))*(1-$K19)+IF((IF(19=4,0,D18))*(1-$K19)&lt;H19,(H19-(IF(19=4,0,D18))*(1-$K19))*Hypothèses!$B$10,0)),1)</f>
        <v/>
      </c>
      <c r="E19">
        <f>ROUND(IF(MOD($A19,12)=0,I19,(IF(19=4,0,E18))*(1-$K19)+IF((IF(19=4,0,E18))*(1-$K19)&lt;I19,(I19-(IF(19=4,0,E18))*(1-$K19))*Hypothèses!$B$10,0)),1)</f>
        <v/>
      </c>
      <c r="F19">
        <f>ROUND(IF(MOD($A19,12)=0,J19,(IF(19=4,0,F18))*(1-$K19)+IF((IF(19=4,0,F18))*(1-$K19)&lt;J19,(J19-(IF(19=4,0,F18))*(1-$K19))*Hypothèses!$B$10,0)),1)</f>
        <v/>
      </c>
      <c r="G19">
        <f>(IF(B19=1,0,IF(B19=2,Hypothèses!$B$26,IF(B19=3,Hypothèses!$C$26,Hypothèses!$D$26)))+(IF(B19=1,Hypothèses!$B$26,IF(B19=2,Hypothèses!$C$26,IF(B19=3,Hypothèses!$D$26,Hypothèses!$D$26)))-(IF(B19=1,0,IF(B19=2,Hypothèses!$B$26,IF(B19=3,Hypothèses!$C$26,Hypothèses!$D$26)))))*((A19)-INT((A19-1)/12)*12)/12)*$B$1</f>
        <v/>
      </c>
      <c r="H19">
        <f>(IF(B19=1,0,IF(B19=2,Hypothèses!$B$27,IF(B19=3,Hypothèses!$C$27,Hypothèses!$D$27)))+(IF(B19=1,Hypothèses!$B$27,IF(B19=2,Hypothèses!$C$27,IF(B19=3,Hypothèses!$D$27,Hypothèses!$D$27)))-(IF(B19=1,0,IF(B19=2,Hypothèses!$B$27,IF(B19=3,Hypothèses!$C$27,Hypothèses!$D$27)))))*((A19)-INT((A19-1)/12)*12)/12)*$B$1</f>
        <v/>
      </c>
      <c r="I19">
        <f>(IF(B19=1,0,IF(B19=2,Hypothèses!$B$28,IF(B19=3,Hypothèses!$C$28,Hypothèses!$D$28)))+(IF(B19=1,Hypothèses!$B$28,IF(B19=2,Hypothèses!$C$28,IF(B19=3,Hypothèses!$D$28,Hypothèses!$D$28)))-(IF(B19=1,0,IF(B19=2,Hypothèses!$B$28,IF(B19=3,Hypothèses!$C$28,Hypothèses!$D$28)))))*((A19)-INT((A19-1)/12)*12)/12)*$B$1</f>
        <v/>
      </c>
      <c r="J19">
        <f>(IF(B19=1,0,IF(B19=2,Hypothèses!$B$29,IF(B19=3,Hypothèses!$C$29,Hypothèses!$D$29)))+(IF(B19=1,Hypothèses!$B$29,IF(B19=2,Hypothèses!$C$29,IF(B19=3,Hypothèses!$D$29,Hypothèses!$D$29)))-(IF(B19=1,0,IF(B19=2,Hypothèses!$B$29,IF(B19=3,Hypothèses!$C$29,Hypothèses!$D$29)))))*((A19)-INT((A19-1)/12)*12)/12)*$B$1</f>
        <v/>
      </c>
      <c r="K19">
        <f>IF(A19&lt;Hypothèses!$B$7,0,Hypothèses!$B$8*(1-Hypothèses!$B$9)^(A19-Hypothèses!$B$7))</f>
        <v/>
      </c>
      <c r="L19">
        <f>C19+D19+E19+F19</f>
        <v/>
      </c>
      <c r="M19">
        <f>(C19*Hypothèses!$B$11+D19*Hypothèses!$B$12+E19*Hypothèses!$B$13+F19*Hypothèses!$B$14)*(IF(B19=1,Hypothèses!$B$20,IF(B19=2,Hypothèses!$B$21,Hypothèses!$B$22))+(1-(IF(B19=1,Hypothèses!$B$20,IF(B19=2,Hypothèses!$B$21,Hypothèses!$B$22))))*11/12)</f>
        <v/>
      </c>
      <c r="N19">
        <f>L19*IF(B19=1,Hypothèses!$C$20,IF(B19=2,Hypothèses!$C$21,Hypothèses!$C$22))*IF(B19=1,Hypothèses!$D$20,IF(B19=2,Hypothèses!$D$21,Hypothèses!$D$22))</f>
        <v/>
      </c>
      <c r="O19">
        <f>IF(A19=18,IF($B$2&gt;=1,Hypothèses!$B$33,0),IF(AND(OR(A19=30,A19=34),$D$2&gt;=1),Hypothèses!$B$34*MIN(1,$D$2/3),0))</f>
        <v/>
      </c>
      <c r="P19">
        <f>M19+N19+O19</f>
        <v/>
      </c>
      <c r="Q19">
        <f>P19/(1+Hypothèses!$B$6)</f>
        <v/>
      </c>
      <c r="R19">
        <f>Hypothèses!$B$3*(1+Hypothèses!$B$4)^INT((A19-1)/3)</f>
        <v/>
      </c>
      <c r="S19">
        <f>IF($A19&gt;=13,1,0)</f>
        <v/>
      </c>
      <c r="T19">
        <f>S19*Hypothèses!$B$17</f>
        <v/>
      </c>
      <c r="U19">
        <f>Q19*Hypothèses!$B$5</f>
        <v/>
      </c>
      <c r="V19">
        <f>Q19-R19-T19-U19</f>
        <v/>
      </c>
      <c r="W19">
        <f>W18+V19</f>
        <v/>
      </c>
    </row>
    <row r="20">
      <c r="A20" t="n">
        <v>17</v>
      </c>
      <c r="B20">
        <f>INT((A20-1)/12)+1</f>
        <v/>
      </c>
      <c r="C20">
        <f>ROUND(IF(MOD($A20,12)=0,G20,(IF(20=4,0,C19))*(1-$K20)+IF((IF(20=4,0,C19))*(1-$K20)&lt;G20,(G20-(IF(20=4,0,C19))*(1-$K20))*Hypothèses!$B$10,0)),1)</f>
        <v/>
      </c>
      <c r="D20">
        <f>ROUND(IF(MOD($A20,12)=0,H20,(IF(20=4,0,D19))*(1-$K20)+IF((IF(20=4,0,D19))*(1-$K20)&lt;H20,(H20-(IF(20=4,0,D19))*(1-$K20))*Hypothèses!$B$10,0)),1)</f>
        <v/>
      </c>
      <c r="E20">
        <f>ROUND(IF(MOD($A20,12)=0,I20,(IF(20=4,0,E19))*(1-$K20)+IF((IF(20=4,0,E19))*(1-$K20)&lt;I20,(I20-(IF(20=4,0,E19))*(1-$K20))*Hypothèses!$B$10,0)),1)</f>
        <v/>
      </c>
      <c r="F20">
        <f>ROUND(IF(MOD($A20,12)=0,J20,(IF(20=4,0,F19))*(1-$K20)+IF((IF(20=4,0,F19))*(1-$K20)&lt;J20,(J20-(IF(20=4,0,F19))*(1-$K20))*Hypothèses!$B$10,0)),1)</f>
        <v/>
      </c>
      <c r="G20">
        <f>(IF(B20=1,0,IF(B20=2,Hypothèses!$B$26,IF(B20=3,Hypothèses!$C$26,Hypothèses!$D$26)))+(IF(B20=1,Hypothèses!$B$26,IF(B20=2,Hypothèses!$C$26,IF(B20=3,Hypothèses!$D$26,Hypothèses!$D$26)))-(IF(B20=1,0,IF(B20=2,Hypothèses!$B$26,IF(B20=3,Hypothèses!$C$26,Hypothèses!$D$26)))))*((A20)-INT((A20-1)/12)*12)/12)*$B$1</f>
        <v/>
      </c>
      <c r="H20">
        <f>(IF(B20=1,0,IF(B20=2,Hypothèses!$B$27,IF(B20=3,Hypothèses!$C$27,Hypothèses!$D$27)))+(IF(B20=1,Hypothèses!$B$27,IF(B20=2,Hypothèses!$C$27,IF(B20=3,Hypothèses!$D$27,Hypothèses!$D$27)))-(IF(B20=1,0,IF(B20=2,Hypothèses!$B$27,IF(B20=3,Hypothèses!$C$27,Hypothèses!$D$27)))))*((A20)-INT((A20-1)/12)*12)/12)*$B$1</f>
        <v/>
      </c>
      <c r="I20">
        <f>(IF(B20=1,0,IF(B20=2,Hypothèses!$B$28,IF(B20=3,Hypothèses!$C$28,Hypothèses!$D$28)))+(IF(B20=1,Hypothèses!$B$28,IF(B20=2,Hypothèses!$C$28,IF(B20=3,Hypothèses!$D$28,Hypothèses!$D$28)))-(IF(B20=1,0,IF(B20=2,Hypothèses!$B$28,IF(B20=3,Hypothèses!$C$28,Hypothèses!$D$28)))))*((A20)-INT((A20-1)/12)*12)/12)*$B$1</f>
        <v/>
      </c>
      <c r="J20">
        <f>(IF(B20=1,0,IF(B20=2,Hypothèses!$B$29,IF(B20=3,Hypothèses!$C$29,Hypothèses!$D$29)))+(IF(B20=1,Hypothèses!$B$29,IF(B20=2,Hypothèses!$C$29,IF(B20=3,Hypothèses!$D$29,Hypothèses!$D$29)))-(IF(B20=1,0,IF(B20=2,Hypothèses!$B$29,IF(B20=3,Hypothèses!$C$29,Hypothèses!$D$29)))))*((A20)-INT((A20-1)/12)*12)/12)*$B$1</f>
        <v/>
      </c>
      <c r="K20">
        <f>IF(A20&lt;Hypothèses!$B$7,0,Hypothèses!$B$8*(1-Hypothèses!$B$9)^(A20-Hypothèses!$B$7))</f>
        <v/>
      </c>
      <c r="L20">
        <f>C20+D20+E20+F20</f>
        <v/>
      </c>
      <c r="M20">
        <f>(C20*Hypothèses!$B$11+D20*Hypothèses!$B$12+E20*Hypothèses!$B$13+F20*Hypothèses!$B$14)*(IF(B20=1,Hypothèses!$B$20,IF(B20=2,Hypothèses!$B$21,Hypothèses!$B$22))+(1-(IF(B20=1,Hypothèses!$B$20,IF(B20=2,Hypothèses!$B$21,Hypothèses!$B$22))))*11/12)</f>
        <v/>
      </c>
      <c r="N20">
        <f>L20*IF(B20=1,Hypothèses!$C$20,IF(B20=2,Hypothèses!$C$21,Hypothèses!$C$22))*IF(B20=1,Hypothèses!$D$20,IF(B20=2,Hypothèses!$D$21,Hypothèses!$D$22))</f>
        <v/>
      </c>
      <c r="O20">
        <f>IF(A20=18,IF($B$2&gt;=1,Hypothèses!$B$33,0),IF(AND(OR(A20=30,A20=34),$D$2&gt;=1),Hypothèses!$B$34*MIN(1,$D$2/3),0))</f>
        <v/>
      </c>
      <c r="P20">
        <f>M20+N20+O20</f>
        <v/>
      </c>
      <c r="Q20">
        <f>P20/(1+Hypothèses!$B$6)</f>
        <v/>
      </c>
      <c r="R20">
        <f>Hypothèses!$B$3*(1+Hypothèses!$B$4)^INT((A20-1)/3)</f>
        <v/>
      </c>
      <c r="S20">
        <f>IF($A20&gt;=13,1,0)</f>
        <v/>
      </c>
      <c r="T20">
        <f>S20*Hypothèses!$B$17</f>
        <v/>
      </c>
      <c r="U20">
        <f>Q20*Hypothèses!$B$5</f>
        <v/>
      </c>
      <c r="V20">
        <f>Q20-R20-T20-U20</f>
        <v/>
      </c>
      <c r="W20">
        <f>W19+V20</f>
        <v/>
      </c>
    </row>
    <row r="21">
      <c r="A21" t="n">
        <v>18</v>
      </c>
      <c r="B21">
        <f>INT((A21-1)/12)+1</f>
        <v/>
      </c>
      <c r="C21">
        <f>ROUND(IF(MOD($A21,12)=0,G21,(IF(21=4,0,C20))*(1-$K21)+IF((IF(21=4,0,C20))*(1-$K21)&lt;G21,(G21-(IF(21=4,0,C20))*(1-$K21))*Hypothèses!$B$10,0)),1)</f>
        <v/>
      </c>
      <c r="D21">
        <f>ROUND(IF(MOD($A21,12)=0,H21,(IF(21=4,0,D20))*(1-$K21)+IF((IF(21=4,0,D20))*(1-$K21)&lt;H21,(H21-(IF(21=4,0,D20))*(1-$K21))*Hypothèses!$B$10,0)),1)</f>
        <v/>
      </c>
      <c r="E21">
        <f>ROUND(IF(MOD($A21,12)=0,I21,(IF(21=4,0,E20))*(1-$K21)+IF((IF(21=4,0,E20))*(1-$K21)&lt;I21,(I21-(IF(21=4,0,E20))*(1-$K21))*Hypothèses!$B$10,0)),1)</f>
        <v/>
      </c>
      <c r="F21">
        <f>ROUND(IF(MOD($A21,12)=0,J21,(IF(21=4,0,F20))*(1-$K21)+IF((IF(21=4,0,F20))*(1-$K21)&lt;J21,(J21-(IF(21=4,0,F20))*(1-$K21))*Hypothèses!$B$10,0)),1)</f>
        <v/>
      </c>
      <c r="G21">
        <f>(IF(B21=1,0,IF(B21=2,Hypothèses!$B$26,IF(B21=3,Hypothèses!$C$26,Hypothèses!$D$26)))+(IF(B21=1,Hypothèses!$B$26,IF(B21=2,Hypothèses!$C$26,IF(B21=3,Hypothèses!$D$26,Hypothèses!$D$26)))-(IF(B21=1,0,IF(B21=2,Hypothèses!$B$26,IF(B21=3,Hypothèses!$C$26,Hypothèses!$D$26)))))*((A21)-INT((A21-1)/12)*12)/12)*$B$1</f>
        <v/>
      </c>
      <c r="H21">
        <f>(IF(B21=1,0,IF(B21=2,Hypothèses!$B$27,IF(B21=3,Hypothèses!$C$27,Hypothèses!$D$27)))+(IF(B21=1,Hypothèses!$B$27,IF(B21=2,Hypothèses!$C$27,IF(B21=3,Hypothèses!$D$27,Hypothèses!$D$27)))-(IF(B21=1,0,IF(B21=2,Hypothèses!$B$27,IF(B21=3,Hypothèses!$C$27,Hypothèses!$D$27)))))*((A21)-INT((A21-1)/12)*12)/12)*$B$1</f>
        <v/>
      </c>
      <c r="I21">
        <f>(IF(B21=1,0,IF(B21=2,Hypothèses!$B$28,IF(B21=3,Hypothèses!$C$28,Hypothèses!$D$28)))+(IF(B21=1,Hypothèses!$B$28,IF(B21=2,Hypothèses!$C$28,IF(B21=3,Hypothèses!$D$28,Hypothèses!$D$28)))-(IF(B21=1,0,IF(B21=2,Hypothèses!$B$28,IF(B21=3,Hypothèses!$C$28,Hypothèses!$D$28)))))*((A21)-INT((A21-1)/12)*12)/12)*$B$1</f>
        <v/>
      </c>
      <c r="J21">
        <f>(IF(B21=1,0,IF(B21=2,Hypothèses!$B$29,IF(B21=3,Hypothèses!$C$29,Hypothèses!$D$29)))+(IF(B21=1,Hypothèses!$B$29,IF(B21=2,Hypothèses!$C$29,IF(B21=3,Hypothèses!$D$29,Hypothèses!$D$29)))-(IF(B21=1,0,IF(B21=2,Hypothèses!$B$29,IF(B21=3,Hypothèses!$C$29,Hypothèses!$D$29)))))*((A21)-INT((A21-1)/12)*12)/12)*$B$1</f>
        <v/>
      </c>
      <c r="K21">
        <f>IF(A21&lt;Hypothèses!$B$7,0,Hypothèses!$B$8*(1-Hypothèses!$B$9)^(A21-Hypothèses!$B$7))</f>
        <v/>
      </c>
      <c r="L21">
        <f>C21+D21+E21+F21</f>
        <v/>
      </c>
      <c r="M21">
        <f>(C21*Hypothèses!$B$11+D21*Hypothèses!$B$12+E21*Hypothèses!$B$13+F21*Hypothèses!$B$14)*(IF(B21=1,Hypothèses!$B$20,IF(B21=2,Hypothèses!$B$21,Hypothèses!$B$22))+(1-(IF(B21=1,Hypothèses!$B$20,IF(B21=2,Hypothèses!$B$21,Hypothèses!$B$22))))*11/12)</f>
        <v/>
      </c>
      <c r="N21">
        <f>L21*IF(B21=1,Hypothèses!$C$20,IF(B21=2,Hypothèses!$C$21,Hypothèses!$C$22))*IF(B21=1,Hypothèses!$D$20,IF(B21=2,Hypothèses!$D$21,Hypothèses!$D$22))</f>
        <v/>
      </c>
      <c r="O21">
        <f>IF(A21=18,IF($B$2&gt;=1,Hypothèses!$B$33,0),IF(AND(OR(A21=30,A21=34),$D$2&gt;=1),Hypothèses!$B$34*MIN(1,$D$2/3),0))</f>
        <v/>
      </c>
      <c r="P21">
        <f>M21+N21+O21</f>
        <v/>
      </c>
      <c r="Q21">
        <f>P21/(1+Hypothèses!$B$6)</f>
        <v/>
      </c>
      <c r="R21">
        <f>Hypothèses!$B$3*(1+Hypothèses!$B$4)^INT((A21-1)/3)</f>
        <v/>
      </c>
      <c r="S21">
        <f>IF($A21&gt;=13,1,0)</f>
        <v/>
      </c>
      <c r="T21">
        <f>S21*Hypothèses!$B$17</f>
        <v/>
      </c>
      <c r="U21">
        <f>Q21*Hypothèses!$B$5</f>
        <v/>
      </c>
      <c r="V21">
        <f>Q21-R21-T21-U21</f>
        <v/>
      </c>
      <c r="W21">
        <f>W20+V21</f>
        <v/>
      </c>
    </row>
    <row r="22">
      <c r="A22" t="n">
        <v>19</v>
      </c>
      <c r="B22">
        <f>INT((A22-1)/12)+1</f>
        <v/>
      </c>
      <c r="C22">
        <f>ROUND(IF(MOD($A22,12)=0,G22,(IF(22=4,0,C21))*(1-$K22)+IF((IF(22=4,0,C21))*(1-$K22)&lt;G22,(G22-(IF(22=4,0,C21))*(1-$K22))*Hypothèses!$B$10,0)),1)</f>
        <v/>
      </c>
      <c r="D22">
        <f>ROUND(IF(MOD($A22,12)=0,H22,(IF(22=4,0,D21))*(1-$K22)+IF((IF(22=4,0,D21))*(1-$K22)&lt;H22,(H22-(IF(22=4,0,D21))*(1-$K22))*Hypothèses!$B$10,0)),1)</f>
        <v/>
      </c>
      <c r="E22">
        <f>ROUND(IF(MOD($A22,12)=0,I22,(IF(22=4,0,E21))*(1-$K22)+IF((IF(22=4,0,E21))*(1-$K22)&lt;I22,(I22-(IF(22=4,0,E21))*(1-$K22))*Hypothèses!$B$10,0)),1)</f>
        <v/>
      </c>
      <c r="F22">
        <f>ROUND(IF(MOD($A22,12)=0,J22,(IF(22=4,0,F21))*(1-$K22)+IF((IF(22=4,0,F21))*(1-$K22)&lt;J22,(J22-(IF(22=4,0,F21))*(1-$K22))*Hypothèses!$B$10,0)),1)</f>
        <v/>
      </c>
      <c r="G22">
        <f>(IF(B22=1,0,IF(B22=2,Hypothèses!$B$26,IF(B22=3,Hypothèses!$C$26,Hypothèses!$D$26)))+(IF(B22=1,Hypothèses!$B$26,IF(B22=2,Hypothèses!$C$26,IF(B22=3,Hypothèses!$D$26,Hypothèses!$D$26)))-(IF(B22=1,0,IF(B22=2,Hypothèses!$B$26,IF(B22=3,Hypothèses!$C$26,Hypothèses!$D$26)))))*((A22)-INT((A22-1)/12)*12)/12)*$B$1</f>
        <v/>
      </c>
      <c r="H22">
        <f>(IF(B22=1,0,IF(B22=2,Hypothèses!$B$27,IF(B22=3,Hypothèses!$C$27,Hypothèses!$D$27)))+(IF(B22=1,Hypothèses!$B$27,IF(B22=2,Hypothèses!$C$27,IF(B22=3,Hypothèses!$D$27,Hypothèses!$D$27)))-(IF(B22=1,0,IF(B22=2,Hypothèses!$B$27,IF(B22=3,Hypothèses!$C$27,Hypothèses!$D$27)))))*((A22)-INT((A22-1)/12)*12)/12)*$B$1</f>
        <v/>
      </c>
      <c r="I22">
        <f>(IF(B22=1,0,IF(B22=2,Hypothèses!$B$28,IF(B22=3,Hypothèses!$C$28,Hypothèses!$D$28)))+(IF(B22=1,Hypothèses!$B$28,IF(B22=2,Hypothèses!$C$28,IF(B22=3,Hypothèses!$D$28,Hypothèses!$D$28)))-(IF(B22=1,0,IF(B22=2,Hypothèses!$B$28,IF(B22=3,Hypothèses!$C$28,Hypothèses!$D$28)))))*((A22)-INT((A22-1)/12)*12)/12)*$B$1</f>
        <v/>
      </c>
      <c r="J22">
        <f>(IF(B22=1,0,IF(B22=2,Hypothèses!$B$29,IF(B22=3,Hypothèses!$C$29,Hypothèses!$D$29)))+(IF(B22=1,Hypothèses!$B$29,IF(B22=2,Hypothèses!$C$29,IF(B22=3,Hypothèses!$D$29,Hypothèses!$D$29)))-(IF(B22=1,0,IF(B22=2,Hypothèses!$B$29,IF(B22=3,Hypothèses!$C$29,Hypothèses!$D$29)))))*((A22)-INT((A22-1)/12)*12)/12)*$B$1</f>
        <v/>
      </c>
      <c r="K22">
        <f>IF(A22&lt;Hypothèses!$B$7,0,Hypothèses!$B$8*(1-Hypothèses!$B$9)^(A22-Hypothèses!$B$7))</f>
        <v/>
      </c>
      <c r="L22">
        <f>C22+D22+E22+F22</f>
        <v/>
      </c>
      <c r="M22">
        <f>(C22*Hypothèses!$B$11+D22*Hypothèses!$B$12+E22*Hypothèses!$B$13+F22*Hypothèses!$B$14)*(IF(B22=1,Hypothèses!$B$20,IF(B22=2,Hypothèses!$B$21,Hypothèses!$B$22))+(1-(IF(B22=1,Hypothèses!$B$20,IF(B22=2,Hypothèses!$B$21,Hypothèses!$B$22))))*11/12)</f>
        <v/>
      </c>
      <c r="N22">
        <f>L22*IF(B22=1,Hypothèses!$C$20,IF(B22=2,Hypothèses!$C$21,Hypothèses!$C$22))*IF(B22=1,Hypothèses!$D$20,IF(B22=2,Hypothèses!$D$21,Hypothèses!$D$22))</f>
        <v/>
      </c>
      <c r="O22">
        <f>IF(A22=18,IF($B$2&gt;=1,Hypothèses!$B$33,0),IF(AND(OR(A22=30,A22=34),$D$2&gt;=1),Hypothèses!$B$34*MIN(1,$D$2/3),0))</f>
        <v/>
      </c>
      <c r="P22">
        <f>M22+N22+O22</f>
        <v/>
      </c>
      <c r="Q22">
        <f>P22/(1+Hypothèses!$B$6)</f>
        <v/>
      </c>
      <c r="R22">
        <f>Hypothèses!$B$3*(1+Hypothèses!$B$4)^INT((A22-1)/3)</f>
        <v/>
      </c>
      <c r="S22">
        <f>IF($A22&gt;=13,1,0)</f>
        <v/>
      </c>
      <c r="T22">
        <f>S22*Hypothèses!$B$17</f>
        <v/>
      </c>
      <c r="U22">
        <f>Q22*Hypothèses!$B$5</f>
        <v/>
      </c>
      <c r="V22">
        <f>Q22-R22-T22-U22</f>
        <v/>
      </c>
      <c r="W22">
        <f>W21+V22</f>
        <v/>
      </c>
    </row>
    <row r="23">
      <c r="A23" t="n">
        <v>20</v>
      </c>
      <c r="B23">
        <f>INT((A23-1)/12)+1</f>
        <v/>
      </c>
      <c r="C23">
        <f>ROUND(IF(MOD($A23,12)=0,G23,(IF(23=4,0,C22))*(1-$K23)+IF((IF(23=4,0,C22))*(1-$K23)&lt;G23,(G23-(IF(23=4,0,C22))*(1-$K23))*Hypothèses!$B$10,0)),1)</f>
        <v/>
      </c>
      <c r="D23">
        <f>ROUND(IF(MOD($A23,12)=0,H23,(IF(23=4,0,D22))*(1-$K23)+IF((IF(23=4,0,D22))*(1-$K23)&lt;H23,(H23-(IF(23=4,0,D22))*(1-$K23))*Hypothèses!$B$10,0)),1)</f>
        <v/>
      </c>
      <c r="E23">
        <f>ROUND(IF(MOD($A23,12)=0,I23,(IF(23=4,0,E22))*(1-$K23)+IF((IF(23=4,0,E22))*(1-$K23)&lt;I23,(I23-(IF(23=4,0,E22))*(1-$K23))*Hypothèses!$B$10,0)),1)</f>
        <v/>
      </c>
      <c r="F23">
        <f>ROUND(IF(MOD($A23,12)=0,J23,(IF(23=4,0,F22))*(1-$K23)+IF((IF(23=4,0,F22))*(1-$K23)&lt;J23,(J23-(IF(23=4,0,F22))*(1-$K23))*Hypothèses!$B$10,0)),1)</f>
        <v/>
      </c>
      <c r="G23">
        <f>(IF(B23=1,0,IF(B23=2,Hypothèses!$B$26,IF(B23=3,Hypothèses!$C$26,Hypothèses!$D$26)))+(IF(B23=1,Hypothèses!$B$26,IF(B23=2,Hypothèses!$C$26,IF(B23=3,Hypothèses!$D$26,Hypothèses!$D$26)))-(IF(B23=1,0,IF(B23=2,Hypothèses!$B$26,IF(B23=3,Hypothèses!$C$26,Hypothèses!$D$26)))))*((A23)-INT((A23-1)/12)*12)/12)*$B$1</f>
        <v/>
      </c>
      <c r="H23">
        <f>(IF(B23=1,0,IF(B23=2,Hypothèses!$B$27,IF(B23=3,Hypothèses!$C$27,Hypothèses!$D$27)))+(IF(B23=1,Hypothèses!$B$27,IF(B23=2,Hypothèses!$C$27,IF(B23=3,Hypothèses!$D$27,Hypothèses!$D$27)))-(IF(B23=1,0,IF(B23=2,Hypothèses!$B$27,IF(B23=3,Hypothèses!$C$27,Hypothèses!$D$27)))))*((A23)-INT((A23-1)/12)*12)/12)*$B$1</f>
        <v/>
      </c>
      <c r="I23">
        <f>(IF(B23=1,0,IF(B23=2,Hypothèses!$B$28,IF(B23=3,Hypothèses!$C$28,Hypothèses!$D$28)))+(IF(B23=1,Hypothèses!$B$28,IF(B23=2,Hypothèses!$C$28,IF(B23=3,Hypothèses!$D$28,Hypothèses!$D$28)))-(IF(B23=1,0,IF(B23=2,Hypothèses!$B$28,IF(B23=3,Hypothèses!$C$28,Hypothèses!$D$28)))))*((A23)-INT((A23-1)/12)*12)/12)*$B$1</f>
        <v/>
      </c>
      <c r="J23">
        <f>(IF(B23=1,0,IF(B23=2,Hypothèses!$B$29,IF(B23=3,Hypothèses!$C$29,Hypothèses!$D$29)))+(IF(B23=1,Hypothèses!$B$29,IF(B23=2,Hypothèses!$C$29,IF(B23=3,Hypothèses!$D$29,Hypothèses!$D$29)))-(IF(B23=1,0,IF(B23=2,Hypothèses!$B$29,IF(B23=3,Hypothèses!$C$29,Hypothèses!$D$29)))))*((A23)-INT((A23-1)/12)*12)/12)*$B$1</f>
        <v/>
      </c>
      <c r="K23">
        <f>IF(A23&lt;Hypothèses!$B$7,0,Hypothèses!$B$8*(1-Hypothèses!$B$9)^(A23-Hypothèses!$B$7))</f>
        <v/>
      </c>
      <c r="L23">
        <f>C23+D23+E23+F23</f>
        <v/>
      </c>
      <c r="M23">
        <f>(C23*Hypothèses!$B$11+D23*Hypothèses!$B$12+E23*Hypothèses!$B$13+F23*Hypothèses!$B$14)*(IF(B23=1,Hypothèses!$B$20,IF(B23=2,Hypothèses!$B$21,Hypothèses!$B$22))+(1-(IF(B23=1,Hypothèses!$B$20,IF(B23=2,Hypothèses!$B$21,Hypothèses!$B$22))))*11/12)</f>
        <v/>
      </c>
      <c r="N23">
        <f>L23*IF(B23=1,Hypothèses!$C$20,IF(B23=2,Hypothèses!$C$21,Hypothèses!$C$22))*IF(B23=1,Hypothèses!$D$20,IF(B23=2,Hypothèses!$D$21,Hypothèses!$D$22))</f>
        <v/>
      </c>
      <c r="O23">
        <f>IF(A23=18,IF($B$2&gt;=1,Hypothèses!$B$33,0),IF(AND(OR(A23=30,A23=34),$D$2&gt;=1),Hypothèses!$B$34*MIN(1,$D$2/3),0))</f>
        <v/>
      </c>
      <c r="P23">
        <f>M23+N23+O23</f>
        <v/>
      </c>
      <c r="Q23">
        <f>P23/(1+Hypothèses!$B$6)</f>
        <v/>
      </c>
      <c r="R23">
        <f>Hypothèses!$B$3*(1+Hypothèses!$B$4)^INT((A23-1)/3)</f>
        <v/>
      </c>
      <c r="S23">
        <f>IF($A23&gt;=13,1,0)</f>
        <v/>
      </c>
      <c r="T23">
        <f>S23*Hypothèses!$B$17</f>
        <v/>
      </c>
      <c r="U23">
        <f>Q23*Hypothèses!$B$5</f>
        <v/>
      </c>
      <c r="V23">
        <f>Q23-R23-T23-U23</f>
        <v/>
      </c>
      <c r="W23">
        <f>W22+V23</f>
        <v/>
      </c>
    </row>
    <row r="24">
      <c r="A24" t="n">
        <v>21</v>
      </c>
      <c r="B24">
        <f>INT((A24-1)/12)+1</f>
        <v/>
      </c>
      <c r="C24">
        <f>ROUND(IF(MOD($A24,12)=0,G24,(IF(24=4,0,C23))*(1-$K24)+IF((IF(24=4,0,C23))*(1-$K24)&lt;G24,(G24-(IF(24=4,0,C23))*(1-$K24))*Hypothèses!$B$10,0)),1)</f>
        <v/>
      </c>
      <c r="D24">
        <f>ROUND(IF(MOD($A24,12)=0,H24,(IF(24=4,0,D23))*(1-$K24)+IF((IF(24=4,0,D23))*(1-$K24)&lt;H24,(H24-(IF(24=4,0,D23))*(1-$K24))*Hypothèses!$B$10,0)),1)</f>
        <v/>
      </c>
      <c r="E24">
        <f>ROUND(IF(MOD($A24,12)=0,I24,(IF(24=4,0,E23))*(1-$K24)+IF((IF(24=4,0,E23))*(1-$K24)&lt;I24,(I24-(IF(24=4,0,E23))*(1-$K24))*Hypothèses!$B$10,0)),1)</f>
        <v/>
      </c>
      <c r="F24">
        <f>ROUND(IF(MOD($A24,12)=0,J24,(IF(24=4,0,F23))*(1-$K24)+IF((IF(24=4,0,F23))*(1-$K24)&lt;J24,(J24-(IF(24=4,0,F23))*(1-$K24))*Hypothèses!$B$10,0)),1)</f>
        <v/>
      </c>
      <c r="G24">
        <f>(IF(B24=1,0,IF(B24=2,Hypothèses!$B$26,IF(B24=3,Hypothèses!$C$26,Hypothèses!$D$26)))+(IF(B24=1,Hypothèses!$B$26,IF(B24=2,Hypothèses!$C$26,IF(B24=3,Hypothèses!$D$26,Hypothèses!$D$26)))-(IF(B24=1,0,IF(B24=2,Hypothèses!$B$26,IF(B24=3,Hypothèses!$C$26,Hypothèses!$D$26)))))*((A24)-INT((A24-1)/12)*12)/12)*$B$1</f>
        <v/>
      </c>
      <c r="H24">
        <f>(IF(B24=1,0,IF(B24=2,Hypothèses!$B$27,IF(B24=3,Hypothèses!$C$27,Hypothèses!$D$27)))+(IF(B24=1,Hypothèses!$B$27,IF(B24=2,Hypothèses!$C$27,IF(B24=3,Hypothèses!$D$27,Hypothèses!$D$27)))-(IF(B24=1,0,IF(B24=2,Hypothèses!$B$27,IF(B24=3,Hypothèses!$C$27,Hypothèses!$D$27)))))*((A24)-INT((A24-1)/12)*12)/12)*$B$1</f>
        <v/>
      </c>
      <c r="I24">
        <f>(IF(B24=1,0,IF(B24=2,Hypothèses!$B$28,IF(B24=3,Hypothèses!$C$28,Hypothèses!$D$28)))+(IF(B24=1,Hypothèses!$B$28,IF(B24=2,Hypothèses!$C$28,IF(B24=3,Hypothèses!$D$28,Hypothèses!$D$28)))-(IF(B24=1,0,IF(B24=2,Hypothèses!$B$28,IF(B24=3,Hypothèses!$C$28,Hypothèses!$D$28)))))*((A24)-INT((A24-1)/12)*12)/12)*$B$1</f>
        <v/>
      </c>
      <c r="J24">
        <f>(IF(B24=1,0,IF(B24=2,Hypothèses!$B$29,IF(B24=3,Hypothèses!$C$29,Hypothèses!$D$29)))+(IF(B24=1,Hypothèses!$B$29,IF(B24=2,Hypothèses!$C$29,IF(B24=3,Hypothèses!$D$29,Hypothèses!$D$29)))-(IF(B24=1,0,IF(B24=2,Hypothèses!$B$29,IF(B24=3,Hypothèses!$C$29,Hypothèses!$D$29)))))*((A24)-INT((A24-1)/12)*12)/12)*$B$1</f>
        <v/>
      </c>
      <c r="K24">
        <f>IF(A24&lt;Hypothèses!$B$7,0,Hypothèses!$B$8*(1-Hypothèses!$B$9)^(A24-Hypothèses!$B$7))</f>
        <v/>
      </c>
      <c r="L24">
        <f>C24+D24+E24+F24</f>
        <v/>
      </c>
      <c r="M24">
        <f>(C24*Hypothèses!$B$11+D24*Hypothèses!$B$12+E24*Hypothèses!$B$13+F24*Hypothèses!$B$14)*(IF(B24=1,Hypothèses!$B$20,IF(B24=2,Hypothèses!$B$21,Hypothèses!$B$22))+(1-(IF(B24=1,Hypothèses!$B$20,IF(B24=2,Hypothèses!$B$21,Hypothèses!$B$22))))*11/12)</f>
        <v/>
      </c>
      <c r="N24">
        <f>L24*IF(B24=1,Hypothèses!$C$20,IF(B24=2,Hypothèses!$C$21,Hypothèses!$C$22))*IF(B24=1,Hypothèses!$D$20,IF(B24=2,Hypothèses!$D$21,Hypothèses!$D$22))</f>
        <v/>
      </c>
      <c r="O24">
        <f>IF(A24=18,IF($B$2&gt;=1,Hypothèses!$B$33,0),IF(AND(OR(A24=30,A24=34),$D$2&gt;=1),Hypothèses!$B$34*MIN(1,$D$2/3),0))</f>
        <v/>
      </c>
      <c r="P24">
        <f>M24+N24+O24</f>
        <v/>
      </c>
      <c r="Q24">
        <f>P24/(1+Hypothèses!$B$6)</f>
        <v/>
      </c>
      <c r="R24">
        <f>Hypothèses!$B$3*(1+Hypothèses!$B$4)^INT((A24-1)/3)</f>
        <v/>
      </c>
      <c r="S24">
        <f>IF($A24&gt;=13,1,0)</f>
        <v/>
      </c>
      <c r="T24">
        <f>S24*Hypothèses!$B$17</f>
        <v/>
      </c>
      <c r="U24">
        <f>Q24*Hypothèses!$B$5</f>
        <v/>
      </c>
      <c r="V24">
        <f>Q24-R24-T24-U24</f>
        <v/>
      </c>
      <c r="W24">
        <f>W23+V24</f>
        <v/>
      </c>
    </row>
    <row r="25">
      <c r="A25" t="n">
        <v>22</v>
      </c>
      <c r="B25">
        <f>INT((A25-1)/12)+1</f>
        <v/>
      </c>
      <c r="C25">
        <f>ROUND(IF(MOD($A25,12)=0,G25,(IF(25=4,0,C24))*(1-$K25)+IF((IF(25=4,0,C24))*(1-$K25)&lt;G25,(G25-(IF(25=4,0,C24))*(1-$K25))*Hypothèses!$B$10,0)),1)</f>
        <v/>
      </c>
      <c r="D25">
        <f>ROUND(IF(MOD($A25,12)=0,H25,(IF(25=4,0,D24))*(1-$K25)+IF((IF(25=4,0,D24))*(1-$K25)&lt;H25,(H25-(IF(25=4,0,D24))*(1-$K25))*Hypothèses!$B$10,0)),1)</f>
        <v/>
      </c>
      <c r="E25">
        <f>ROUND(IF(MOD($A25,12)=0,I25,(IF(25=4,0,E24))*(1-$K25)+IF((IF(25=4,0,E24))*(1-$K25)&lt;I25,(I25-(IF(25=4,0,E24))*(1-$K25))*Hypothèses!$B$10,0)),1)</f>
        <v/>
      </c>
      <c r="F25">
        <f>ROUND(IF(MOD($A25,12)=0,J25,(IF(25=4,0,F24))*(1-$K25)+IF((IF(25=4,0,F24))*(1-$K25)&lt;J25,(J25-(IF(25=4,0,F24))*(1-$K25))*Hypothèses!$B$10,0)),1)</f>
        <v/>
      </c>
      <c r="G25">
        <f>(IF(B25=1,0,IF(B25=2,Hypothèses!$B$26,IF(B25=3,Hypothèses!$C$26,Hypothèses!$D$26)))+(IF(B25=1,Hypothèses!$B$26,IF(B25=2,Hypothèses!$C$26,IF(B25=3,Hypothèses!$D$26,Hypothèses!$D$26)))-(IF(B25=1,0,IF(B25=2,Hypothèses!$B$26,IF(B25=3,Hypothèses!$C$26,Hypothèses!$D$26)))))*((A25)-INT((A25-1)/12)*12)/12)*$B$1</f>
        <v/>
      </c>
      <c r="H25">
        <f>(IF(B25=1,0,IF(B25=2,Hypothèses!$B$27,IF(B25=3,Hypothèses!$C$27,Hypothèses!$D$27)))+(IF(B25=1,Hypothèses!$B$27,IF(B25=2,Hypothèses!$C$27,IF(B25=3,Hypothèses!$D$27,Hypothèses!$D$27)))-(IF(B25=1,0,IF(B25=2,Hypothèses!$B$27,IF(B25=3,Hypothèses!$C$27,Hypothèses!$D$27)))))*((A25)-INT((A25-1)/12)*12)/12)*$B$1</f>
        <v/>
      </c>
      <c r="I25">
        <f>(IF(B25=1,0,IF(B25=2,Hypothèses!$B$28,IF(B25=3,Hypothèses!$C$28,Hypothèses!$D$28)))+(IF(B25=1,Hypothèses!$B$28,IF(B25=2,Hypothèses!$C$28,IF(B25=3,Hypothèses!$D$28,Hypothèses!$D$28)))-(IF(B25=1,0,IF(B25=2,Hypothèses!$B$28,IF(B25=3,Hypothèses!$C$28,Hypothèses!$D$28)))))*((A25)-INT((A25-1)/12)*12)/12)*$B$1</f>
        <v/>
      </c>
      <c r="J25">
        <f>(IF(B25=1,0,IF(B25=2,Hypothèses!$B$29,IF(B25=3,Hypothèses!$C$29,Hypothèses!$D$29)))+(IF(B25=1,Hypothèses!$B$29,IF(B25=2,Hypothèses!$C$29,IF(B25=3,Hypothèses!$D$29,Hypothèses!$D$29)))-(IF(B25=1,0,IF(B25=2,Hypothèses!$B$29,IF(B25=3,Hypothèses!$C$29,Hypothèses!$D$29)))))*((A25)-INT((A25-1)/12)*12)/12)*$B$1</f>
        <v/>
      </c>
      <c r="K25">
        <f>IF(A25&lt;Hypothèses!$B$7,0,Hypothèses!$B$8*(1-Hypothèses!$B$9)^(A25-Hypothèses!$B$7))</f>
        <v/>
      </c>
      <c r="L25">
        <f>C25+D25+E25+F25</f>
        <v/>
      </c>
      <c r="M25">
        <f>(C25*Hypothèses!$B$11+D25*Hypothèses!$B$12+E25*Hypothèses!$B$13+F25*Hypothèses!$B$14)*(IF(B25=1,Hypothèses!$B$20,IF(B25=2,Hypothèses!$B$21,Hypothèses!$B$22))+(1-(IF(B25=1,Hypothèses!$B$20,IF(B25=2,Hypothèses!$B$21,Hypothèses!$B$22))))*11/12)</f>
        <v/>
      </c>
      <c r="N25">
        <f>L25*IF(B25=1,Hypothèses!$C$20,IF(B25=2,Hypothèses!$C$21,Hypothèses!$C$22))*IF(B25=1,Hypothèses!$D$20,IF(B25=2,Hypothèses!$D$21,Hypothèses!$D$22))</f>
        <v/>
      </c>
      <c r="O25">
        <f>IF(A25=18,IF($B$2&gt;=1,Hypothèses!$B$33,0),IF(AND(OR(A25=30,A25=34),$D$2&gt;=1),Hypothèses!$B$34*MIN(1,$D$2/3),0))</f>
        <v/>
      </c>
      <c r="P25">
        <f>M25+N25+O25</f>
        <v/>
      </c>
      <c r="Q25">
        <f>P25/(1+Hypothèses!$B$6)</f>
        <v/>
      </c>
      <c r="R25">
        <f>Hypothèses!$B$3*(1+Hypothèses!$B$4)^INT((A25-1)/3)</f>
        <v/>
      </c>
      <c r="S25">
        <f>IF($A25&gt;=13,1,0)</f>
        <v/>
      </c>
      <c r="T25">
        <f>S25*Hypothèses!$B$17</f>
        <v/>
      </c>
      <c r="U25">
        <f>Q25*Hypothèses!$B$5</f>
        <v/>
      </c>
      <c r="V25">
        <f>Q25-R25-T25-U25</f>
        <v/>
      </c>
      <c r="W25">
        <f>W24+V25</f>
        <v/>
      </c>
    </row>
    <row r="26">
      <c r="A26" t="n">
        <v>23</v>
      </c>
      <c r="B26">
        <f>INT((A26-1)/12)+1</f>
        <v/>
      </c>
      <c r="C26">
        <f>ROUND(IF(MOD($A26,12)=0,G26,(IF(26=4,0,C25))*(1-$K26)+IF((IF(26=4,0,C25))*(1-$K26)&lt;G26,(G26-(IF(26=4,0,C25))*(1-$K26))*Hypothèses!$B$10,0)),1)</f>
        <v/>
      </c>
      <c r="D26">
        <f>ROUND(IF(MOD($A26,12)=0,H26,(IF(26=4,0,D25))*(1-$K26)+IF((IF(26=4,0,D25))*(1-$K26)&lt;H26,(H26-(IF(26=4,0,D25))*(1-$K26))*Hypothèses!$B$10,0)),1)</f>
        <v/>
      </c>
      <c r="E26">
        <f>ROUND(IF(MOD($A26,12)=0,I26,(IF(26=4,0,E25))*(1-$K26)+IF((IF(26=4,0,E25))*(1-$K26)&lt;I26,(I26-(IF(26=4,0,E25))*(1-$K26))*Hypothèses!$B$10,0)),1)</f>
        <v/>
      </c>
      <c r="F26">
        <f>ROUND(IF(MOD($A26,12)=0,J26,(IF(26=4,0,F25))*(1-$K26)+IF((IF(26=4,0,F25))*(1-$K26)&lt;J26,(J26-(IF(26=4,0,F25))*(1-$K26))*Hypothèses!$B$10,0)),1)</f>
        <v/>
      </c>
      <c r="G26">
        <f>(IF(B26=1,0,IF(B26=2,Hypothèses!$B$26,IF(B26=3,Hypothèses!$C$26,Hypothèses!$D$26)))+(IF(B26=1,Hypothèses!$B$26,IF(B26=2,Hypothèses!$C$26,IF(B26=3,Hypothèses!$D$26,Hypothèses!$D$26)))-(IF(B26=1,0,IF(B26=2,Hypothèses!$B$26,IF(B26=3,Hypothèses!$C$26,Hypothèses!$D$26)))))*((A26)-INT((A26-1)/12)*12)/12)*$B$1</f>
        <v/>
      </c>
      <c r="H26">
        <f>(IF(B26=1,0,IF(B26=2,Hypothèses!$B$27,IF(B26=3,Hypothèses!$C$27,Hypothèses!$D$27)))+(IF(B26=1,Hypothèses!$B$27,IF(B26=2,Hypothèses!$C$27,IF(B26=3,Hypothèses!$D$27,Hypothèses!$D$27)))-(IF(B26=1,0,IF(B26=2,Hypothèses!$B$27,IF(B26=3,Hypothèses!$C$27,Hypothèses!$D$27)))))*((A26)-INT((A26-1)/12)*12)/12)*$B$1</f>
        <v/>
      </c>
      <c r="I26">
        <f>(IF(B26=1,0,IF(B26=2,Hypothèses!$B$28,IF(B26=3,Hypothèses!$C$28,Hypothèses!$D$28)))+(IF(B26=1,Hypothèses!$B$28,IF(B26=2,Hypothèses!$C$28,IF(B26=3,Hypothèses!$D$28,Hypothèses!$D$28)))-(IF(B26=1,0,IF(B26=2,Hypothèses!$B$28,IF(B26=3,Hypothèses!$C$28,Hypothèses!$D$28)))))*((A26)-INT((A26-1)/12)*12)/12)*$B$1</f>
        <v/>
      </c>
      <c r="J26">
        <f>(IF(B26=1,0,IF(B26=2,Hypothèses!$B$29,IF(B26=3,Hypothèses!$C$29,Hypothèses!$D$29)))+(IF(B26=1,Hypothèses!$B$29,IF(B26=2,Hypothèses!$C$29,IF(B26=3,Hypothèses!$D$29,Hypothèses!$D$29)))-(IF(B26=1,0,IF(B26=2,Hypothèses!$B$29,IF(B26=3,Hypothèses!$C$29,Hypothèses!$D$29)))))*((A26)-INT((A26-1)/12)*12)/12)*$B$1</f>
        <v/>
      </c>
      <c r="K26">
        <f>IF(A26&lt;Hypothèses!$B$7,0,Hypothèses!$B$8*(1-Hypothèses!$B$9)^(A26-Hypothèses!$B$7))</f>
        <v/>
      </c>
      <c r="L26">
        <f>C26+D26+E26+F26</f>
        <v/>
      </c>
      <c r="M26">
        <f>(C26*Hypothèses!$B$11+D26*Hypothèses!$B$12+E26*Hypothèses!$B$13+F26*Hypothèses!$B$14)*(IF(B26=1,Hypothèses!$B$20,IF(B26=2,Hypothèses!$B$21,Hypothèses!$B$22))+(1-(IF(B26=1,Hypothèses!$B$20,IF(B26=2,Hypothèses!$B$21,Hypothèses!$B$22))))*11/12)</f>
        <v/>
      </c>
      <c r="N26">
        <f>L26*IF(B26=1,Hypothèses!$C$20,IF(B26=2,Hypothèses!$C$21,Hypothèses!$C$22))*IF(B26=1,Hypothèses!$D$20,IF(B26=2,Hypothèses!$D$21,Hypothèses!$D$22))</f>
        <v/>
      </c>
      <c r="O26">
        <f>IF(A26=18,IF($B$2&gt;=1,Hypothèses!$B$33,0),IF(AND(OR(A26=30,A26=34),$D$2&gt;=1),Hypothèses!$B$34*MIN(1,$D$2/3),0))</f>
        <v/>
      </c>
      <c r="P26">
        <f>M26+N26+O26</f>
        <v/>
      </c>
      <c r="Q26">
        <f>P26/(1+Hypothèses!$B$6)</f>
        <v/>
      </c>
      <c r="R26">
        <f>Hypothèses!$B$3*(1+Hypothèses!$B$4)^INT((A26-1)/3)</f>
        <v/>
      </c>
      <c r="S26">
        <f>IF($A26&gt;=13,1,0)</f>
        <v/>
      </c>
      <c r="T26">
        <f>S26*Hypothèses!$B$17</f>
        <v/>
      </c>
      <c r="U26">
        <f>Q26*Hypothèses!$B$5</f>
        <v/>
      </c>
      <c r="V26">
        <f>Q26-R26-T26-U26</f>
        <v/>
      </c>
      <c r="W26">
        <f>W25+V26</f>
        <v/>
      </c>
    </row>
    <row r="27">
      <c r="A27" t="n">
        <v>24</v>
      </c>
      <c r="B27">
        <f>INT((A27-1)/12)+1</f>
        <v/>
      </c>
      <c r="C27">
        <f>ROUND(IF(MOD($A27,12)=0,G27,(IF(27=4,0,C26))*(1-$K27)+IF((IF(27=4,0,C26))*(1-$K27)&lt;G27,(G27-(IF(27=4,0,C26))*(1-$K27))*Hypothèses!$B$10,0)),1)</f>
        <v/>
      </c>
      <c r="D27">
        <f>ROUND(IF(MOD($A27,12)=0,H27,(IF(27=4,0,D26))*(1-$K27)+IF((IF(27=4,0,D26))*(1-$K27)&lt;H27,(H27-(IF(27=4,0,D26))*(1-$K27))*Hypothèses!$B$10,0)),1)</f>
        <v/>
      </c>
      <c r="E27">
        <f>ROUND(IF(MOD($A27,12)=0,I27,(IF(27=4,0,E26))*(1-$K27)+IF((IF(27=4,0,E26))*(1-$K27)&lt;I27,(I27-(IF(27=4,0,E26))*(1-$K27))*Hypothèses!$B$10,0)),1)</f>
        <v/>
      </c>
      <c r="F27">
        <f>ROUND(IF(MOD($A27,12)=0,J27,(IF(27=4,0,F26))*(1-$K27)+IF((IF(27=4,0,F26))*(1-$K27)&lt;J27,(J27-(IF(27=4,0,F26))*(1-$K27))*Hypothèses!$B$10,0)),1)</f>
        <v/>
      </c>
      <c r="G27">
        <f>(IF(B27=1,0,IF(B27=2,Hypothèses!$B$26,IF(B27=3,Hypothèses!$C$26,Hypothèses!$D$26)))+(IF(B27=1,Hypothèses!$B$26,IF(B27=2,Hypothèses!$C$26,IF(B27=3,Hypothèses!$D$26,Hypothèses!$D$26)))-(IF(B27=1,0,IF(B27=2,Hypothèses!$B$26,IF(B27=3,Hypothèses!$C$26,Hypothèses!$D$26)))))*((A27)-INT((A27-1)/12)*12)/12)*$B$1</f>
        <v/>
      </c>
      <c r="H27">
        <f>(IF(B27=1,0,IF(B27=2,Hypothèses!$B$27,IF(B27=3,Hypothèses!$C$27,Hypothèses!$D$27)))+(IF(B27=1,Hypothèses!$B$27,IF(B27=2,Hypothèses!$C$27,IF(B27=3,Hypothèses!$D$27,Hypothèses!$D$27)))-(IF(B27=1,0,IF(B27=2,Hypothèses!$B$27,IF(B27=3,Hypothèses!$C$27,Hypothèses!$D$27)))))*((A27)-INT((A27-1)/12)*12)/12)*$B$1</f>
        <v/>
      </c>
      <c r="I27">
        <f>(IF(B27=1,0,IF(B27=2,Hypothèses!$B$28,IF(B27=3,Hypothèses!$C$28,Hypothèses!$D$28)))+(IF(B27=1,Hypothèses!$B$28,IF(B27=2,Hypothèses!$C$28,IF(B27=3,Hypothèses!$D$28,Hypothèses!$D$28)))-(IF(B27=1,0,IF(B27=2,Hypothèses!$B$28,IF(B27=3,Hypothèses!$C$28,Hypothèses!$D$28)))))*((A27)-INT((A27-1)/12)*12)/12)*$B$1</f>
        <v/>
      </c>
      <c r="J27">
        <f>(IF(B27=1,0,IF(B27=2,Hypothèses!$B$29,IF(B27=3,Hypothèses!$C$29,Hypothèses!$D$29)))+(IF(B27=1,Hypothèses!$B$29,IF(B27=2,Hypothèses!$C$29,IF(B27=3,Hypothèses!$D$29,Hypothèses!$D$29)))-(IF(B27=1,0,IF(B27=2,Hypothèses!$B$29,IF(B27=3,Hypothèses!$C$29,Hypothèses!$D$29)))))*((A27)-INT((A27-1)/12)*12)/12)*$B$1</f>
        <v/>
      </c>
      <c r="K27">
        <f>IF(A27&lt;Hypothèses!$B$7,0,Hypothèses!$B$8*(1-Hypothèses!$B$9)^(A27-Hypothèses!$B$7))</f>
        <v/>
      </c>
      <c r="L27">
        <f>C27+D27+E27+F27</f>
        <v/>
      </c>
      <c r="M27">
        <f>(C27*Hypothèses!$B$11+D27*Hypothèses!$B$12+E27*Hypothèses!$B$13+F27*Hypothèses!$B$14)*(IF(B27=1,Hypothèses!$B$20,IF(B27=2,Hypothèses!$B$21,Hypothèses!$B$22))+(1-(IF(B27=1,Hypothèses!$B$20,IF(B27=2,Hypothèses!$B$21,Hypothèses!$B$22))))*11/12)</f>
        <v/>
      </c>
      <c r="N27">
        <f>L27*IF(B27=1,Hypothèses!$C$20,IF(B27=2,Hypothèses!$C$21,Hypothèses!$C$22))*IF(B27=1,Hypothèses!$D$20,IF(B27=2,Hypothèses!$D$21,Hypothèses!$D$22))</f>
        <v/>
      </c>
      <c r="O27">
        <f>IF(A27=18,IF($B$2&gt;=1,Hypothèses!$B$33,0),IF(AND(OR(A27=30,A27=34),$D$2&gt;=1),Hypothèses!$B$34*MIN(1,$D$2/3),0))</f>
        <v/>
      </c>
      <c r="P27">
        <f>M27+N27+O27</f>
        <v/>
      </c>
      <c r="Q27">
        <f>P27/(1+Hypothèses!$B$6)</f>
        <v/>
      </c>
      <c r="R27">
        <f>Hypothèses!$B$3*(1+Hypothèses!$B$4)^INT((A27-1)/3)</f>
        <v/>
      </c>
      <c r="S27">
        <f>IF($A27&gt;=13,1,0)</f>
        <v/>
      </c>
      <c r="T27">
        <f>S27*Hypothèses!$B$17</f>
        <v/>
      </c>
      <c r="U27">
        <f>Q27*Hypothèses!$B$5</f>
        <v/>
      </c>
      <c r="V27">
        <f>Q27-R27-T27-U27</f>
        <v/>
      </c>
      <c r="W27">
        <f>W26+V27</f>
        <v/>
      </c>
    </row>
    <row r="28">
      <c r="A28" t="n">
        <v>25</v>
      </c>
      <c r="B28">
        <f>INT((A28-1)/12)+1</f>
        <v/>
      </c>
      <c r="C28">
        <f>ROUND(IF(MOD($A28,12)=0,G28,(IF(28=4,0,C27))*(1-$K28)+IF((IF(28=4,0,C27))*(1-$K28)&lt;G28,(G28-(IF(28=4,0,C27))*(1-$K28))*Hypothèses!$B$10,0)),1)</f>
        <v/>
      </c>
      <c r="D28">
        <f>ROUND(IF(MOD($A28,12)=0,H28,(IF(28=4,0,D27))*(1-$K28)+IF((IF(28=4,0,D27))*(1-$K28)&lt;H28,(H28-(IF(28=4,0,D27))*(1-$K28))*Hypothèses!$B$10,0)),1)</f>
        <v/>
      </c>
      <c r="E28">
        <f>ROUND(IF(MOD($A28,12)=0,I28,(IF(28=4,0,E27))*(1-$K28)+IF((IF(28=4,0,E27))*(1-$K28)&lt;I28,(I28-(IF(28=4,0,E27))*(1-$K28))*Hypothèses!$B$10,0)),1)</f>
        <v/>
      </c>
      <c r="F28">
        <f>ROUND(IF(MOD($A28,12)=0,J28,(IF(28=4,0,F27))*(1-$K28)+IF((IF(28=4,0,F27))*(1-$K28)&lt;J28,(J28-(IF(28=4,0,F27))*(1-$K28))*Hypothèses!$B$10,0)),1)</f>
        <v/>
      </c>
      <c r="G28">
        <f>(IF(B28=1,0,IF(B28=2,Hypothèses!$B$26,IF(B28=3,Hypothèses!$C$26,Hypothèses!$D$26)))+(IF(B28=1,Hypothèses!$B$26,IF(B28=2,Hypothèses!$C$26,IF(B28=3,Hypothèses!$D$26,Hypothèses!$D$26)))-(IF(B28=1,0,IF(B28=2,Hypothèses!$B$26,IF(B28=3,Hypothèses!$C$26,Hypothèses!$D$26)))))*((A28)-INT((A28-1)/12)*12)/12)*$B$1</f>
        <v/>
      </c>
      <c r="H28">
        <f>(IF(B28=1,0,IF(B28=2,Hypothèses!$B$27,IF(B28=3,Hypothèses!$C$27,Hypothèses!$D$27)))+(IF(B28=1,Hypothèses!$B$27,IF(B28=2,Hypothèses!$C$27,IF(B28=3,Hypothèses!$D$27,Hypothèses!$D$27)))-(IF(B28=1,0,IF(B28=2,Hypothèses!$B$27,IF(B28=3,Hypothèses!$C$27,Hypothèses!$D$27)))))*((A28)-INT((A28-1)/12)*12)/12)*$B$1</f>
        <v/>
      </c>
      <c r="I28">
        <f>(IF(B28=1,0,IF(B28=2,Hypothèses!$B$28,IF(B28=3,Hypothèses!$C$28,Hypothèses!$D$28)))+(IF(B28=1,Hypothèses!$B$28,IF(B28=2,Hypothèses!$C$28,IF(B28=3,Hypothèses!$D$28,Hypothèses!$D$28)))-(IF(B28=1,0,IF(B28=2,Hypothèses!$B$28,IF(B28=3,Hypothèses!$C$28,Hypothèses!$D$28)))))*((A28)-INT((A28-1)/12)*12)/12)*$B$1</f>
        <v/>
      </c>
      <c r="J28">
        <f>(IF(B28=1,0,IF(B28=2,Hypothèses!$B$29,IF(B28=3,Hypothèses!$C$29,Hypothèses!$D$29)))+(IF(B28=1,Hypothèses!$B$29,IF(B28=2,Hypothèses!$C$29,IF(B28=3,Hypothèses!$D$29,Hypothèses!$D$29)))-(IF(B28=1,0,IF(B28=2,Hypothèses!$B$29,IF(B28=3,Hypothèses!$C$29,Hypothèses!$D$29)))))*((A28)-INT((A28-1)/12)*12)/12)*$B$1</f>
        <v/>
      </c>
      <c r="K28">
        <f>IF(A28&lt;Hypothèses!$B$7,0,Hypothèses!$B$8*(1-Hypothèses!$B$9)^(A28-Hypothèses!$B$7))</f>
        <v/>
      </c>
      <c r="L28">
        <f>C28+D28+E28+F28</f>
        <v/>
      </c>
      <c r="M28">
        <f>(C28*Hypothèses!$B$11+D28*Hypothèses!$B$12+E28*Hypothèses!$B$13+F28*Hypothèses!$B$14)*(IF(B28=1,Hypothèses!$B$20,IF(B28=2,Hypothèses!$B$21,Hypothèses!$B$22))+(1-(IF(B28=1,Hypothèses!$B$20,IF(B28=2,Hypothèses!$B$21,Hypothèses!$B$22))))*11/12)</f>
        <v/>
      </c>
      <c r="N28">
        <f>L28*IF(B28=1,Hypothèses!$C$20,IF(B28=2,Hypothèses!$C$21,Hypothèses!$C$22))*IF(B28=1,Hypothèses!$D$20,IF(B28=2,Hypothèses!$D$21,Hypothèses!$D$22))</f>
        <v/>
      </c>
      <c r="O28">
        <f>IF(A28=18,IF($B$2&gt;=1,Hypothèses!$B$33,0),IF(AND(OR(A28=30,A28=34),$D$2&gt;=1),Hypothèses!$B$34*MIN(1,$D$2/3),0))</f>
        <v/>
      </c>
      <c r="P28">
        <f>M28+N28+O28</f>
        <v/>
      </c>
      <c r="Q28">
        <f>P28/(1+Hypothèses!$B$6)</f>
        <v/>
      </c>
      <c r="R28">
        <f>Hypothèses!$B$3*(1+Hypothèses!$B$4)^INT((A28-1)/3)</f>
        <v/>
      </c>
      <c r="S28">
        <f>IF($A28&gt;=13,1,0)</f>
        <v/>
      </c>
      <c r="T28">
        <f>S28*Hypothèses!$B$17</f>
        <v/>
      </c>
      <c r="U28">
        <f>Q28*Hypothèses!$B$5</f>
        <v/>
      </c>
      <c r="V28">
        <f>Q28-R28-T28-U28</f>
        <v/>
      </c>
      <c r="W28">
        <f>W27+V28</f>
        <v/>
      </c>
    </row>
    <row r="29">
      <c r="A29" t="n">
        <v>26</v>
      </c>
      <c r="B29">
        <f>INT((A29-1)/12)+1</f>
        <v/>
      </c>
      <c r="C29">
        <f>ROUND(IF(MOD($A29,12)=0,G29,(IF(29=4,0,C28))*(1-$K29)+IF((IF(29=4,0,C28))*(1-$K29)&lt;G29,(G29-(IF(29=4,0,C28))*(1-$K29))*Hypothèses!$B$10,0)),1)</f>
        <v/>
      </c>
      <c r="D29">
        <f>ROUND(IF(MOD($A29,12)=0,H29,(IF(29=4,0,D28))*(1-$K29)+IF((IF(29=4,0,D28))*(1-$K29)&lt;H29,(H29-(IF(29=4,0,D28))*(1-$K29))*Hypothèses!$B$10,0)),1)</f>
        <v/>
      </c>
      <c r="E29">
        <f>ROUND(IF(MOD($A29,12)=0,I29,(IF(29=4,0,E28))*(1-$K29)+IF((IF(29=4,0,E28))*(1-$K29)&lt;I29,(I29-(IF(29=4,0,E28))*(1-$K29))*Hypothèses!$B$10,0)),1)</f>
        <v/>
      </c>
      <c r="F29">
        <f>ROUND(IF(MOD($A29,12)=0,J29,(IF(29=4,0,F28))*(1-$K29)+IF((IF(29=4,0,F28))*(1-$K29)&lt;J29,(J29-(IF(29=4,0,F28))*(1-$K29))*Hypothèses!$B$10,0)),1)</f>
        <v/>
      </c>
      <c r="G29">
        <f>(IF(B29=1,0,IF(B29=2,Hypothèses!$B$26,IF(B29=3,Hypothèses!$C$26,Hypothèses!$D$26)))+(IF(B29=1,Hypothèses!$B$26,IF(B29=2,Hypothèses!$C$26,IF(B29=3,Hypothèses!$D$26,Hypothèses!$D$26)))-(IF(B29=1,0,IF(B29=2,Hypothèses!$B$26,IF(B29=3,Hypothèses!$C$26,Hypothèses!$D$26)))))*((A29)-INT((A29-1)/12)*12)/12)*$B$1</f>
        <v/>
      </c>
      <c r="H29">
        <f>(IF(B29=1,0,IF(B29=2,Hypothèses!$B$27,IF(B29=3,Hypothèses!$C$27,Hypothèses!$D$27)))+(IF(B29=1,Hypothèses!$B$27,IF(B29=2,Hypothèses!$C$27,IF(B29=3,Hypothèses!$D$27,Hypothèses!$D$27)))-(IF(B29=1,0,IF(B29=2,Hypothèses!$B$27,IF(B29=3,Hypothèses!$C$27,Hypothèses!$D$27)))))*((A29)-INT((A29-1)/12)*12)/12)*$B$1</f>
        <v/>
      </c>
      <c r="I29">
        <f>(IF(B29=1,0,IF(B29=2,Hypothèses!$B$28,IF(B29=3,Hypothèses!$C$28,Hypothèses!$D$28)))+(IF(B29=1,Hypothèses!$B$28,IF(B29=2,Hypothèses!$C$28,IF(B29=3,Hypothèses!$D$28,Hypothèses!$D$28)))-(IF(B29=1,0,IF(B29=2,Hypothèses!$B$28,IF(B29=3,Hypothèses!$C$28,Hypothèses!$D$28)))))*((A29)-INT((A29-1)/12)*12)/12)*$B$1</f>
        <v/>
      </c>
      <c r="J29">
        <f>(IF(B29=1,0,IF(B29=2,Hypothèses!$B$29,IF(B29=3,Hypothèses!$C$29,Hypothèses!$D$29)))+(IF(B29=1,Hypothèses!$B$29,IF(B29=2,Hypothèses!$C$29,IF(B29=3,Hypothèses!$D$29,Hypothèses!$D$29)))-(IF(B29=1,0,IF(B29=2,Hypothèses!$B$29,IF(B29=3,Hypothèses!$C$29,Hypothèses!$D$29)))))*((A29)-INT((A29-1)/12)*12)/12)*$B$1</f>
        <v/>
      </c>
      <c r="K29">
        <f>IF(A29&lt;Hypothèses!$B$7,0,Hypothèses!$B$8*(1-Hypothèses!$B$9)^(A29-Hypothèses!$B$7))</f>
        <v/>
      </c>
      <c r="L29">
        <f>C29+D29+E29+F29</f>
        <v/>
      </c>
      <c r="M29">
        <f>(C29*Hypothèses!$B$11+D29*Hypothèses!$B$12+E29*Hypothèses!$B$13+F29*Hypothèses!$B$14)*(IF(B29=1,Hypothèses!$B$20,IF(B29=2,Hypothèses!$B$21,Hypothèses!$B$22))+(1-(IF(B29=1,Hypothèses!$B$20,IF(B29=2,Hypothèses!$B$21,Hypothèses!$B$22))))*11/12)</f>
        <v/>
      </c>
      <c r="N29">
        <f>L29*IF(B29=1,Hypothèses!$C$20,IF(B29=2,Hypothèses!$C$21,Hypothèses!$C$22))*IF(B29=1,Hypothèses!$D$20,IF(B29=2,Hypothèses!$D$21,Hypothèses!$D$22))</f>
        <v/>
      </c>
      <c r="O29">
        <f>IF(A29=18,IF($B$2&gt;=1,Hypothèses!$B$33,0),IF(AND(OR(A29=30,A29=34),$D$2&gt;=1),Hypothèses!$B$34*MIN(1,$D$2/3),0))</f>
        <v/>
      </c>
      <c r="P29">
        <f>M29+N29+O29</f>
        <v/>
      </c>
      <c r="Q29">
        <f>P29/(1+Hypothèses!$B$6)</f>
        <v/>
      </c>
      <c r="R29">
        <f>Hypothèses!$B$3*(1+Hypothèses!$B$4)^INT((A29-1)/3)</f>
        <v/>
      </c>
      <c r="S29">
        <f>IF($A29&gt;=13,1,0)</f>
        <v/>
      </c>
      <c r="T29">
        <f>S29*Hypothèses!$B$17</f>
        <v/>
      </c>
      <c r="U29">
        <f>Q29*Hypothèses!$B$5</f>
        <v/>
      </c>
      <c r="V29">
        <f>Q29-R29-T29-U29</f>
        <v/>
      </c>
      <c r="W29">
        <f>W28+V29</f>
        <v/>
      </c>
    </row>
    <row r="30">
      <c r="A30" t="n">
        <v>27</v>
      </c>
      <c r="B30">
        <f>INT((A30-1)/12)+1</f>
        <v/>
      </c>
      <c r="C30">
        <f>ROUND(IF(MOD($A30,12)=0,G30,(IF(30=4,0,C29))*(1-$K30)+IF((IF(30=4,0,C29))*(1-$K30)&lt;G30,(G30-(IF(30=4,0,C29))*(1-$K30))*Hypothèses!$B$10,0)),1)</f>
        <v/>
      </c>
      <c r="D30">
        <f>ROUND(IF(MOD($A30,12)=0,H30,(IF(30=4,0,D29))*(1-$K30)+IF((IF(30=4,0,D29))*(1-$K30)&lt;H30,(H30-(IF(30=4,0,D29))*(1-$K30))*Hypothèses!$B$10,0)),1)</f>
        <v/>
      </c>
      <c r="E30">
        <f>ROUND(IF(MOD($A30,12)=0,I30,(IF(30=4,0,E29))*(1-$K30)+IF((IF(30=4,0,E29))*(1-$K30)&lt;I30,(I30-(IF(30=4,0,E29))*(1-$K30))*Hypothèses!$B$10,0)),1)</f>
        <v/>
      </c>
      <c r="F30">
        <f>ROUND(IF(MOD($A30,12)=0,J30,(IF(30=4,0,F29))*(1-$K30)+IF((IF(30=4,0,F29))*(1-$K30)&lt;J30,(J30-(IF(30=4,0,F29))*(1-$K30))*Hypothèses!$B$10,0)),1)</f>
        <v/>
      </c>
      <c r="G30">
        <f>(IF(B30=1,0,IF(B30=2,Hypothèses!$B$26,IF(B30=3,Hypothèses!$C$26,Hypothèses!$D$26)))+(IF(B30=1,Hypothèses!$B$26,IF(B30=2,Hypothèses!$C$26,IF(B30=3,Hypothèses!$D$26,Hypothèses!$D$26)))-(IF(B30=1,0,IF(B30=2,Hypothèses!$B$26,IF(B30=3,Hypothèses!$C$26,Hypothèses!$D$26)))))*((A30)-INT((A30-1)/12)*12)/12)*$B$1</f>
        <v/>
      </c>
      <c r="H30">
        <f>(IF(B30=1,0,IF(B30=2,Hypothèses!$B$27,IF(B30=3,Hypothèses!$C$27,Hypothèses!$D$27)))+(IF(B30=1,Hypothèses!$B$27,IF(B30=2,Hypothèses!$C$27,IF(B30=3,Hypothèses!$D$27,Hypothèses!$D$27)))-(IF(B30=1,0,IF(B30=2,Hypothèses!$B$27,IF(B30=3,Hypothèses!$C$27,Hypothèses!$D$27)))))*((A30)-INT((A30-1)/12)*12)/12)*$B$1</f>
        <v/>
      </c>
      <c r="I30">
        <f>(IF(B30=1,0,IF(B30=2,Hypothèses!$B$28,IF(B30=3,Hypothèses!$C$28,Hypothèses!$D$28)))+(IF(B30=1,Hypothèses!$B$28,IF(B30=2,Hypothèses!$C$28,IF(B30=3,Hypothèses!$D$28,Hypothèses!$D$28)))-(IF(B30=1,0,IF(B30=2,Hypothèses!$B$28,IF(B30=3,Hypothèses!$C$28,Hypothèses!$D$28)))))*((A30)-INT((A30-1)/12)*12)/12)*$B$1</f>
        <v/>
      </c>
      <c r="J30">
        <f>(IF(B30=1,0,IF(B30=2,Hypothèses!$B$29,IF(B30=3,Hypothèses!$C$29,Hypothèses!$D$29)))+(IF(B30=1,Hypothèses!$B$29,IF(B30=2,Hypothèses!$C$29,IF(B30=3,Hypothèses!$D$29,Hypothèses!$D$29)))-(IF(B30=1,0,IF(B30=2,Hypothèses!$B$29,IF(B30=3,Hypothèses!$C$29,Hypothèses!$D$29)))))*((A30)-INT((A30-1)/12)*12)/12)*$B$1</f>
        <v/>
      </c>
      <c r="K30">
        <f>IF(A30&lt;Hypothèses!$B$7,0,Hypothèses!$B$8*(1-Hypothèses!$B$9)^(A30-Hypothèses!$B$7))</f>
        <v/>
      </c>
      <c r="L30">
        <f>C30+D30+E30+F30</f>
        <v/>
      </c>
      <c r="M30">
        <f>(C30*Hypothèses!$B$11+D30*Hypothèses!$B$12+E30*Hypothèses!$B$13+F30*Hypothèses!$B$14)*(IF(B30=1,Hypothèses!$B$20,IF(B30=2,Hypothèses!$B$21,Hypothèses!$B$22))+(1-(IF(B30=1,Hypothèses!$B$20,IF(B30=2,Hypothèses!$B$21,Hypothèses!$B$22))))*11/12)</f>
        <v/>
      </c>
      <c r="N30">
        <f>L30*IF(B30=1,Hypothèses!$C$20,IF(B30=2,Hypothèses!$C$21,Hypothèses!$C$22))*IF(B30=1,Hypothèses!$D$20,IF(B30=2,Hypothèses!$D$21,Hypothèses!$D$22))</f>
        <v/>
      </c>
      <c r="O30">
        <f>IF(A30=18,IF($B$2&gt;=1,Hypothèses!$B$33,0),IF(AND(OR(A30=30,A30=34),$D$2&gt;=1),Hypothèses!$B$34*MIN(1,$D$2/3),0))</f>
        <v/>
      </c>
      <c r="P30">
        <f>M30+N30+O30</f>
        <v/>
      </c>
      <c r="Q30">
        <f>P30/(1+Hypothèses!$B$6)</f>
        <v/>
      </c>
      <c r="R30">
        <f>Hypothèses!$B$3*(1+Hypothèses!$B$4)^INT((A30-1)/3)</f>
        <v/>
      </c>
      <c r="S30">
        <f>IF($A30&gt;=13,1,0)</f>
        <v/>
      </c>
      <c r="T30">
        <f>S30*Hypothèses!$B$17</f>
        <v/>
      </c>
      <c r="U30">
        <f>Q30*Hypothèses!$B$5</f>
        <v/>
      </c>
      <c r="V30">
        <f>Q30-R30-T30-U30</f>
        <v/>
      </c>
      <c r="W30">
        <f>W29+V30</f>
        <v/>
      </c>
    </row>
    <row r="31">
      <c r="A31" t="n">
        <v>28</v>
      </c>
      <c r="B31">
        <f>INT((A31-1)/12)+1</f>
        <v/>
      </c>
      <c r="C31">
        <f>ROUND(IF(MOD($A31,12)=0,G31,(IF(31=4,0,C30))*(1-$K31)+IF((IF(31=4,0,C30))*(1-$K31)&lt;G31,(G31-(IF(31=4,0,C30))*(1-$K31))*Hypothèses!$B$10,0)),1)</f>
        <v/>
      </c>
      <c r="D31">
        <f>ROUND(IF(MOD($A31,12)=0,H31,(IF(31=4,0,D30))*(1-$K31)+IF((IF(31=4,0,D30))*(1-$K31)&lt;H31,(H31-(IF(31=4,0,D30))*(1-$K31))*Hypothèses!$B$10,0)),1)</f>
        <v/>
      </c>
      <c r="E31">
        <f>ROUND(IF(MOD($A31,12)=0,I31,(IF(31=4,0,E30))*(1-$K31)+IF((IF(31=4,0,E30))*(1-$K31)&lt;I31,(I31-(IF(31=4,0,E30))*(1-$K31))*Hypothèses!$B$10,0)),1)</f>
        <v/>
      </c>
      <c r="F31">
        <f>ROUND(IF(MOD($A31,12)=0,J31,(IF(31=4,0,F30))*(1-$K31)+IF((IF(31=4,0,F30))*(1-$K31)&lt;J31,(J31-(IF(31=4,0,F30))*(1-$K31))*Hypothèses!$B$10,0)),1)</f>
        <v/>
      </c>
      <c r="G31">
        <f>(IF(B31=1,0,IF(B31=2,Hypothèses!$B$26,IF(B31=3,Hypothèses!$C$26,Hypothèses!$D$26)))+(IF(B31=1,Hypothèses!$B$26,IF(B31=2,Hypothèses!$C$26,IF(B31=3,Hypothèses!$D$26,Hypothèses!$D$26)))-(IF(B31=1,0,IF(B31=2,Hypothèses!$B$26,IF(B31=3,Hypothèses!$C$26,Hypothèses!$D$26)))))*((A31)-INT((A31-1)/12)*12)/12)*$B$1</f>
        <v/>
      </c>
      <c r="H31">
        <f>(IF(B31=1,0,IF(B31=2,Hypothèses!$B$27,IF(B31=3,Hypothèses!$C$27,Hypothèses!$D$27)))+(IF(B31=1,Hypothèses!$B$27,IF(B31=2,Hypothèses!$C$27,IF(B31=3,Hypothèses!$D$27,Hypothèses!$D$27)))-(IF(B31=1,0,IF(B31=2,Hypothèses!$B$27,IF(B31=3,Hypothèses!$C$27,Hypothèses!$D$27)))))*((A31)-INT((A31-1)/12)*12)/12)*$B$1</f>
        <v/>
      </c>
      <c r="I31">
        <f>(IF(B31=1,0,IF(B31=2,Hypothèses!$B$28,IF(B31=3,Hypothèses!$C$28,Hypothèses!$D$28)))+(IF(B31=1,Hypothèses!$B$28,IF(B31=2,Hypothèses!$C$28,IF(B31=3,Hypothèses!$D$28,Hypothèses!$D$28)))-(IF(B31=1,0,IF(B31=2,Hypothèses!$B$28,IF(B31=3,Hypothèses!$C$28,Hypothèses!$D$28)))))*((A31)-INT((A31-1)/12)*12)/12)*$B$1</f>
        <v/>
      </c>
      <c r="J31">
        <f>(IF(B31=1,0,IF(B31=2,Hypothèses!$B$29,IF(B31=3,Hypothèses!$C$29,Hypothèses!$D$29)))+(IF(B31=1,Hypothèses!$B$29,IF(B31=2,Hypothèses!$C$29,IF(B31=3,Hypothèses!$D$29,Hypothèses!$D$29)))-(IF(B31=1,0,IF(B31=2,Hypothèses!$B$29,IF(B31=3,Hypothèses!$C$29,Hypothèses!$D$29)))))*((A31)-INT((A31-1)/12)*12)/12)*$B$1</f>
        <v/>
      </c>
      <c r="K31">
        <f>IF(A31&lt;Hypothèses!$B$7,0,Hypothèses!$B$8*(1-Hypothèses!$B$9)^(A31-Hypothèses!$B$7))</f>
        <v/>
      </c>
      <c r="L31">
        <f>C31+D31+E31+F31</f>
        <v/>
      </c>
      <c r="M31">
        <f>(C31*Hypothèses!$B$11+D31*Hypothèses!$B$12+E31*Hypothèses!$B$13+F31*Hypothèses!$B$14)*(IF(B31=1,Hypothèses!$B$20,IF(B31=2,Hypothèses!$B$21,Hypothèses!$B$22))+(1-(IF(B31=1,Hypothèses!$B$20,IF(B31=2,Hypothèses!$B$21,Hypothèses!$B$22))))*11/12)</f>
        <v/>
      </c>
      <c r="N31">
        <f>L31*IF(B31=1,Hypothèses!$C$20,IF(B31=2,Hypothèses!$C$21,Hypothèses!$C$22))*IF(B31=1,Hypothèses!$D$20,IF(B31=2,Hypothèses!$D$21,Hypothèses!$D$22))</f>
        <v/>
      </c>
      <c r="O31">
        <f>IF(A31=18,IF($B$2&gt;=1,Hypothèses!$B$33,0),IF(AND(OR(A31=30,A31=34),$D$2&gt;=1),Hypothèses!$B$34*MIN(1,$D$2/3),0))</f>
        <v/>
      </c>
      <c r="P31">
        <f>M31+N31+O31</f>
        <v/>
      </c>
      <c r="Q31">
        <f>P31/(1+Hypothèses!$B$6)</f>
        <v/>
      </c>
      <c r="R31">
        <f>Hypothèses!$B$3*(1+Hypothèses!$B$4)^INT((A31-1)/3)</f>
        <v/>
      </c>
      <c r="S31">
        <f>IF($A31&gt;=13,1,0)</f>
        <v/>
      </c>
      <c r="T31">
        <f>S31*Hypothèses!$B$17</f>
        <v/>
      </c>
      <c r="U31">
        <f>Q31*Hypothèses!$B$5</f>
        <v/>
      </c>
      <c r="V31">
        <f>Q31-R31-T31-U31</f>
        <v/>
      </c>
      <c r="W31">
        <f>W30+V31</f>
        <v/>
      </c>
    </row>
    <row r="32">
      <c r="A32" t="n">
        <v>29</v>
      </c>
      <c r="B32">
        <f>INT((A32-1)/12)+1</f>
        <v/>
      </c>
      <c r="C32">
        <f>ROUND(IF(MOD($A32,12)=0,G32,(IF(32=4,0,C31))*(1-$K32)+IF((IF(32=4,0,C31))*(1-$K32)&lt;G32,(G32-(IF(32=4,0,C31))*(1-$K32))*Hypothèses!$B$10,0)),1)</f>
        <v/>
      </c>
      <c r="D32">
        <f>ROUND(IF(MOD($A32,12)=0,H32,(IF(32=4,0,D31))*(1-$K32)+IF((IF(32=4,0,D31))*(1-$K32)&lt;H32,(H32-(IF(32=4,0,D31))*(1-$K32))*Hypothèses!$B$10,0)),1)</f>
        <v/>
      </c>
      <c r="E32">
        <f>ROUND(IF(MOD($A32,12)=0,I32,(IF(32=4,0,E31))*(1-$K32)+IF((IF(32=4,0,E31))*(1-$K32)&lt;I32,(I32-(IF(32=4,0,E31))*(1-$K32))*Hypothèses!$B$10,0)),1)</f>
        <v/>
      </c>
      <c r="F32">
        <f>ROUND(IF(MOD($A32,12)=0,J32,(IF(32=4,0,F31))*(1-$K32)+IF((IF(32=4,0,F31))*(1-$K32)&lt;J32,(J32-(IF(32=4,0,F31))*(1-$K32))*Hypothèses!$B$10,0)),1)</f>
        <v/>
      </c>
      <c r="G32">
        <f>(IF(B32=1,0,IF(B32=2,Hypothèses!$B$26,IF(B32=3,Hypothèses!$C$26,Hypothèses!$D$26)))+(IF(B32=1,Hypothèses!$B$26,IF(B32=2,Hypothèses!$C$26,IF(B32=3,Hypothèses!$D$26,Hypothèses!$D$26)))-(IF(B32=1,0,IF(B32=2,Hypothèses!$B$26,IF(B32=3,Hypothèses!$C$26,Hypothèses!$D$26)))))*((A32)-INT((A32-1)/12)*12)/12)*$B$1</f>
        <v/>
      </c>
      <c r="H32">
        <f>(IF(B32=1,0,IF(B32=2,Hypothèses!$B$27,IF(B32=3,Hypothèses!$C$27,Hypothèses!$D$27)))+(IF(B32=1,Hypothèses!$B$27,IF(B32=2,Hypothèses!$C$27,IF(B32=3,Hypothèses!$D$27,Hypothèses!$D$27)))-(IF(B32=1,0,IF(B32=2,Hypothèses!$B$27,IF(B32=3,Hypothèses!$C$27,Hypothèses!$D$27)))))*((A32)-INT((A32-1)/12)*12)/12)*$B$1</f>
        <v/>
      </c>
      <c r="I32">
        <f>(IF(B32=1,0,IF(B32=2,Hypothèses!$B$28,IF(B32=3,Hypothèses!$C$28,Hypothèses!$D$28)))+(IF(B32=1,Hypothèses!$B$28,IF(B32=2,Hypothèses!$C$28,IF(B32=3,Hypothèses!$D$28,Hypothèses!$D$28)))-(IF(B32=1,0,IF(B32=2,Hypothèses!$B$28,IF(B32=3,Hypothèses!$C$28,Hypothèses!$D$28)))))*((A32)-INT((A32-1)/12)*12)/12)*$B$1</f>
        <v/>
      </c>
      <c r="J32">
        <f>(IF(B32=1,0,IF(B32=2,Hypothèses!$B$29,IF(B32=3,Hypothèses!$C$29,Hypothèses!$D$29)))+(IF(B32=1,Hypothèses!$B$29,IF(B32=2,Hypothèses!$C$29,IF(B32=3,Hypothèses!$D$29,Hypothèses!$D$29)))-(IF(B32=1,0,IF(B32=2,Hypothèses!$B$29,IF(B32=3,Hypothèses!$C$29,Hypothèses!$D$29)))))*((A32)-INT((A32-1)/12)*12)/12)*$B$1</f>
        <v/>
      </c>
      <c r="K32">
        <f>IF(A32&lt;Hypothèses!$B$7,0,Hypothèses!$B$8*(1-Hypothèses!$B$9)^(A32-Hypothèses!$B$7))</f>
        <v/>
      </c>
      <c r="L32">
        <f>C32+D32+E32+F32</f>
        <v/>
      </c>
      <c r="M32">
        <f>(C32*Hypothèses!$B$11+D32*Hypothèses!$B$12+E32*Hypothèses!$B$13+F32*Hypothèses!$B$14)*(IF(B32=1,Hypothèses!$B$20,IF(B32=2,Hypothèses!$B$21,Hypothèses!$B$22))+(1-(IF(B32=1,Hypothèses!$B$20,IF(B32=2,Hypothèses!$B$21,Hypothèses!$B$22))))*11/12)</f>
        <v/>
      </c>
      <c r="N32">
        <f>L32*IF(B32=1,Hypothèses!$C$20,IF(B32=2,Hypothèses!$C$21,Hypothèses!$C$22))*IF(B32=1,Hypothèses!$D$20,IF(B32=2,Hypothèses!$D$21,Hypothèses!$D$22))</f>
        <v/>
      </c>
      <c r="O32">
        <f>IF(A32=18,IF($B$2&gt;=1,Hypothèses!$B$33,0),IF(AND(OR(A32=30,A32=34),$D$2&gt;=1),Hypothèses!$B$34*MIN(1,$D$2/3),0))</f>
        <v/>
      </c>
      <c r="P32">
        <f>M32+N32+O32</f>
        <v/>
      </c>
      <c r="Q32">
        <f>P32/(1+Hypothèses!$B$6)</f>
        <v/>
      </c>
      <c r="R32">
        <f>Hypothèses!$B$3*(1+Hypothèses!$B$4)^INT((A32-1)/3)</f>
        <v/>
      </c>
      <c r="S32">
        <f>IF($A32&gt;=13,1,0)</f>
        <v/>
      </c>
      <c r="T32">
        <f>S32*Hypothèses!$B$17</f>
        <v/>
      </c>
      <c r="U32">
        <f>Q32*Hypothèses!$B$5</f>
        <v/>
      </c>
      <c r="V32">
        <f>Q32-R32-T32-U32</f>
        <v/>
      </c>
      <c r="W32">
        <f>W31+V32</f>
        <v/>
      </c>
    </row>
    <row r="33">
      <c r="A33" t="n">
        <v>30</v>
      </c>
      <c r="B33">
        <f>INT((A33-1)/12)+1</f>
        <v/>
      </c>
      <c r="C33">
        <f>ROUND(IF(MOD($A33,12)=0,G33,(IF(33=4,0,C32))*(1-$K33)+IF((IF(33=4,0,C32))*(1-$K33)&lt;G33,(G33-(IF(33=4,0,C32))*(1-$K33))*Hypothèses!$B$10,0)),1)</f>
        <v/>
      </c>
      <c r="D33">
        <f>ROUND(IF(MOD($A33,12)=0,H33,(IF(33=4,0,D32))*(1-$K33)+IF((IF(33=4,0,D32))*(1-$K33)&lt;H33,(H33-(IF(33=4,0,D32))*(1-$K33))*Hypothèses!$B$10,0)),1)</f>
        <v/>
      </c>
      <c r="E33">
        <f>ROUND(IF(MOD($A33,12)=0,I33,(IF(33=4,0,E32))*(1-$K33)+IF((IF(33=4,0,E32))*(1-$K33)&lt;I33,(I33-(IF(33=4,0,E32))*(1-$K33))*Hypothèses!$B$10,0)),1)</f>
        <v/>
      </c>
      <c r="F33">
        <f>ROUND(IF(MOD($A33,12)=0,J33,(IF(33=4,0,F32))*(1-$K33)+IF((IF(33=4,0,F32))*(1-$K33)&lt;J33,(J33-(IF(33=4,0,F32))*(1-$K33))*Hypothèses!$B$10,0)),1)</f>
        <v/>
      </c>
      <c r="G33">
        <f>(IF(B33=1,0,IF(B33=2,Hypothèses!$B$26,IF(B33=3,Hypothèses!$C$26,Hypothèses!$D$26)))+(IF(B33=1,Hypothèses!$B$26,IF(B33=2,Hypothèses!$C$26,IF(B33=3,Hypothèses!$D$26,Hypothèses!$D$26)))-(IF(B33=1,0,IF(B33=2,Hypothèses!$B$26,IF(B33=3,Hypothèses!$C$26,Hypothèses!$D$26)))))*((A33)-INT((A33-1)/12)*12)/12)*$B$1</f>
        <v/>
      </c>
      <c r="H33">
        <f>(IF(B33=1,0,IF(B33=2,Hypothèses!$B$27,IF(B33=3,Hypothèses!$C$27,Hypothèses!$D$27)))+(IF(B33=1,Hypothèses!$B$27,IF(B33=2,Hypothèses!$C$27,IF(B33=3,Hypothèses!$D$27,Hypothèses!$D$27)))-(IF(B33=1,0,IF(B33=2,Hypothèses!$B$27,IF(B33=3,Hypothèses!$C$27,Hypothèses!$D$27)))))*((A33)-INT((A33-1)/12)*12)/12)*$B$1</f>
        <v/>
      </c>
      <c r="I33">
        <f>(IF(B33=1,0,IF(B33=2,Hypothèses!$B$28,IF(B33=3,Hypothèses!$C$28,Hypothèses!$D$28)))+(IF(B33=1,Hypothèses!$B$28,IF(B33=2,Hypothèses!$C$28,IF(B33=3,Hypothèses!$D$28,Hypothèses!$D$28)))-(IF(B33=1,0,IF(B33=2,Hypothèses!$B$28,IF(B33=3,Hypothèses!$C$28,Hypothèses!$D$28)))))*((A33)-INT((A33-1)/12)*12)/12)*$B$1</f>
        <v/>
      </c>
      <c r="J33">
        <f>(IF(B33=1,0,IF(B33=2,Hypothèses!$B$29,IF(B33=3,Hypothèses!$C$29,Hypothèses!$D$29)))+(IF(B33=1,Hypothèses!$B$29,IF(B33=2,Hypothèses!$C$29,IF(B33=3,Hypothèses!$D$29,Hypothèses!$D$29)))-(IF(B33=1,0,IF(B33=2,Hypothèses!$B$29,IF(B33=3,Hypothèses!$C$29,Hypothèses!$D$29)))))*((A33)-INT((A33-1)/12)*12)/12)*$B$1</f>
        <v/>
      </c>
      <c r="K33">
        <f>IF(A33&lt;Hypothèses!$B$7,0,Hypothèses!$B$8*(1-Hypothèses!$B$9)^(A33-Hypothèses!$B$7))</f>
        <v/>
      </c>
      <c r="L33">
        <f>C33+D33+E33+F33</f>
        <v/>
      </c>
      <c r="M33">
        <f>(C33*Hypothèses!$B$11+D33*Hypothèses!$B$12+E33*Hypothèses!$B$13+F33*Hypothèses!$B$14)*(IF(B33=1,Hypothèses!$B$20,IF(B33=2,Hypothèses!$B$21,Hypothèses!$B$22))+(1-(IF(B33=1,Hypothèses!$B$20,IF(B33=2,Hypothèses!$B$21,Hypothèses!$B$22))))*11/12)</f>
        <v/>
      </c>
      <c r="N33">
        <f>L33*IF(B33=1,Hypothèses!$C$20,IF(B33=2,Hypothèses!$C$21,Hypothèses!$C$22))*IF(B33=1,Hypothèses!$D$20,IF(B33=2,Hypothèses!$D$21,Hypothèses!$D$22))</f>
        <v/>
      </c>
      <c r="O33">
        <f>IF(A33=18,IF($B$2&gt;=1,Hypothèses!$B$33,0),IF(AND(OR(A33=30,A33=34),$D$2&gt;=1),Hypothèses!$B$34*MIN(1,$D$2/3),0))</f>
        <v/>
      </c>
      <c r="P33">
        <f>M33+N33+O33</f>
        <v/>
      </c>
      <c r="Q33">
        <f>P33/(1+Hypothèses!$B$6)</f>
        <v/>
      </c>
      <c r="R33">
        <f>Hypothèses!$B$3*(1+Hypothèses!$B$4)^INT((A33-1)/3)</f>
        <v/>
      </c>
      <c r="S33">
        <f>IF($A33&gt;=13,1,0)</f>
        <v/>
      </c>
      <c r="T33">
        <f>S33*Hypothèses!$B$17</f>
        <v/>
      </c>
      <c r="U33">
        <f>Q33*Hypothèses!$B$5</f>
        <v/>
      </c>
      <c r="V33">
        <f>Q33-R33-T33-U33</f>
        <v/>
      </c>
      <c r="W33">
        <f>W32+V33</f>
        <v/>
      </c>
    </row>
    <row r="34">
      <c r="A34" t="n">
        <v>31</v>
      </c>
      <c r="B34">
        <f>INT((A34-1)/12)+1</f>
        <v/>
      </c>
      <c r="C34">
        <f>ROUND(IF(MOD($A34,12)=0,G34,(IF(34=4,0,C33))*(1-$K34)+IF((IF(34=4,0,C33))*(1-$K34)&lt;G34,(G34-(IF(34=4,0,C33))*(1-$K34))*Hypothèses!$B$10,0)),1)</f>
        <v/>
      </c>
      <c r="D34">
        <f>ROUND(IF(MOD($A34,12)=0,H34,(IF(34=4,0,D33))*(1-$K34)+IF((IF(34=4,0,D33))*(1-$K34)&lt;H34,(H34-(IF(34=4,0,D33))*(1-$K34))*Hypothèses!$B$10,0)),1)</f>
        <v/>
      </c>
      <c r="E34">
        <f>ROUND(IF(MOD($A34,12)=0,I34,(IF(34=4,0,E33))*(1-$K34)+IF((IF(34=4,0,E33))*(1-$K34)&lt;I34,(I34-(IF(34=4,0,E33))*(1-$K34))*Hypothèses!$B$10,0)),1)</f>
        <v/>
      </c>
      <c r="F34">
        <f>ROUND(IF(MOD($A34,12)=0,J34,(IF(34=4,0,F33))*(1-$K34)+IF((IF(34=4,0,F33))*(1-$K34)&lt;J34,(J34-(IF(34=4,0,F33))*(1-$K34))*Hypothèses!$B$10,0)),1)</f>
        <v/>
      </c>
      <c r="G34">
        <f>(IF(B34=1,0,IF(B34=2,Hypothèses!$B$26,IF(B34=3,Hypothèses!$C$26,Hypothèses!$D$26)))+(IF(B34=1,Hypothèses!$B$26,IF(B34=2,Hypothèses!$C$26,IF(B34=3,Hypothèses!$D$26,Hypothèses!$D$26)))-(IF(B34=1,0,IF(B34=2,Hypothèses!$B$26,IF(B34=3,Hypothèses!$C$26,Hypothèses!$D$26)))))*((A34)-INT((A34-1)/12)*12)/12)*$B$1</f>
        <v/>
      </c>
      <c r="H34">
        <f>(IF(B34=1,0,IF(B34=2,Hypothèses!$B$27,IF(B34=3,Hypothèses!$C$27,Hypothèses!$D$27)))+(IF(B34=1,Hypothèses!$B$27,IF(B34=2,Hypothèses!$C$27,IF(B34=3,Hypothèses!$D$27,Hypothèses!$D$27)))-(IF(B34=1,0,IF(B34=2,Hypothèses!$B$27,IF(B34=3,Hypothèses!$C$27,Hypothèses!$D$27)))))*((A34)-INT((A34-1)/12)*12)/12)*$B$1</f>
        <v/>
      </c>
      <c r="I34">
        <f>(IF(B34=1,0,IF(B34=2,Hypothèses!$B$28,IF(B34=3,Hypothèses!$C$28,Hypothèses!$D$28)))+(IF(B34=1,Hypothèses!$B$28,IF(B34=2,Hypothèses!$C$28,IF(B34=3,Hypothèses!$D$28,Hypothèses!$D$28)))-(IF(B34=1,0,IF(B34=2,Hypothèses!$B$28,IF(B34=3,Hypothèses!$C$28,Hypothèses!$D$28)))))*((A34)-INT((A34-1)/12)*12)/12)*$B$1</f>
        <v/>
      </c>
      <c r="J34">
        <f>(IF(B34=1,0,IF(B34=2,Hypothèses!$B$29,IF(B34=3,Hypothèses!$C$29,Hypothèses!$D$29)))+(IF(B34=1,Hypothèses!$B$29,IF(B34=2,Hypothèses!$C$29,IF(B34=3,Hypothèses!$D$29,Hypothèses!$D$29)))-(IF(B34=1,0,IF(B34=2,Hypothèses!$B$29,IF(B34=3,Hypothèses!$C$29,Hypothèses!$D$29)))))*((A34)-INT((A34-1)/12)*12)/12)*$B$1</f>
        <v/>
      </c>
      <c r="K34">
        <f>IF(A34&lt;Hypothèses!$B$7,0,Hypothèses!$B$8*(1-Hypothèses!$B$9)^(A34-Hypothèses!$B$7))</f>
        <v/>
      </c>
      <c r="L34">
        <f>C34+D34+E34+F34</f>
        <v/>
      </c>
      <c r="M34">
        <f>(C34*Hypothèses!$B$11+D34*Hypothèses!$B$12+E34*Hypothèses!$B$13+F34*Hypothèses!$B$14)*(IF(B34=1,Hypothèses!$B$20,IF(B34=2,Hypothèses!$B$21,Hypothèses!$B$22))+(1-(IF(B34=1,Hypothèses!$B$20,IF(B34=2,Hypothèses!$B$21,Hypothèses!$B$22))))*11/12)</f>
        <v/>
      </c>
      <c r="N34">
        <f>L34*IF(B34=1,Hypothèses!$C$20,IF(B34=2,Hypothèses!$C$21,Hypothèses!$C$22))*IF(B34=1,Hypothèses!$D$20,IF(B34=2,Hypothèses!$D$21,Hypothèses!$D$22))</f>
        <v/>
      </c>
      <c r="O34">
        <f>IF(A34=18,IF($B$2&gt;=1,Hypothèses!$B$33,0),IF(AND(OR(A34=30,A34=34),$D$2&gt;=1),Hypothèses!$B$34*MIN(1,$D$2/3),0))</f>
        <v/>
      </c>
      <c r="P34">
        <f>M34+N34+O34</f>
        <v/>
      </c>
      <c r="Q34">
        <f>P34/(1+Hypothèses!$B$6)</f>
        <v/>
      </c>
      <c r="R34">
        <f>Hypothèses!$B$3*(1+Hypothèses!$B$4)^INT((A34-1)/3)</f>
        <v/>
      </c>
      <c r="S34">
        <f>IF($A34&gt;=13,1,0)</f>
        <v/>
      </c>
      <c r="T34">
        <f>S34*Hypothèses!$B$17</f>
        <v/>
      </c>
      <c r="U34">
        <f>Q34*Hypothèses!$B$5</f>
        <v/>
      </c>
      <c r="V34">
        <f>Q34-R34-T34-U34</f>
        <v/>
      </c>
      <c r="W34">
        <f>W33+V34</f>
        <v/>
      </c>
    </row>
    <row r="35">
      <c r="A35" t="n">
        <v>32</v>
      </c>
      <c r="B35">
        <f>INT((A35-1)/12)+1</f>
        <v/>
      </c>
      <c r="C35">
        <f>ROUND(IF(MOD($A35,12)=0,G35,(IF(35=4,0,C34))*(1-$K35)+IF((IF(35=4,0,C34))*(1-$K35)&lt;G35,(G35-(IF(35=4,0,C34))*(1-$K35))*Hypothèses!$B$10,0)),1)</f>
        <v/>
      </c>
      <c r="D35">
        <f>ROUND(IF(MOD($A35,12)=0,H35,(IF(35=4,0,D34))*(1-$K35)+IF((IF(35=4,0,D34))*(1-$K35)&lt;H35,(H35-(IF(35=4,0,D34))*(1-$K35))*Hypothèses!$B$10,0)),1)</f>
        <v/>
      </c>
      <c r="E35">
        <f>ROUND(IF(MOD($A35,12)=0,I35,(IF(35=4,0,E34))*(1-$K35)+IF((IF(35=4,0,E34))*(1-$K35)&lt;I35,(I35-(IF(35=4,0,E34))*(1-$K35))*Hypothèses!$B$10,0)),1)</f>
        <v/>
      </c>
      <c r="F35">
        <f>ROUND(IF(MOD($A35,12)=0,J35,(IF(35=4,0,F34))*(1-$K35)+IF((IF(35=4,0,F34))*(1-$K35)&lt;J35,(J35-(IF(35=4,0,F34))*(1-$K35))*Hypothèses!$B$10,0)),1)</f>
        <v/>
      </c>
      <c r="G35">
        <f>(IF(B35=1,0,IF(B35=2,Hypothèses!$B$26,IF(B35=3,Hypothèses!$C$26,Hypothèses!$D$26)))+(IF(B35=1,Hypothèses!$B$26,IF(B35=2,Hypothèses!$C$26,IF(B35=3,Hypothèses!$D$26,Hypothèses!$D$26)))-(IF(B35=1,0,IF(B35=2,Hypothèses!$B$26,IF(B35=3,Hypothèses!$C$26,Hypothèses!$D$26)))))*((A35)-INT((A35-1)/12)*12)/12)*$B$1</f>
        <v/>
      </c>
      <c r="H35">
        <f>(IF(B35=1,0,IF(B35=2,Hypothèses!$B$27,IF(B35=3,Hypothèses!$C$27,Hypothèses!$D$27)))+(IF(B35=1,Hypothèses!$B$27,IF(B35=2,Hypothèses!$C$27,IF(B35=3,Hypothèses!$D$27,Hypothèses!$D$27)))-(IF(B35=1,0,IF(B35=2,Hypothèses!$B$27,IF(B35=3,Hypothèses!$C$27,Hypothèses!$D$27)))))*((A35)-INT((A35-1)/12)*12)/12)*$B$1</f>
        <v/>
      </c>
      <c r="I35">
        <f>(IF(B35=1,0,IF(B35=2,Hypothèses!$B$28,IF(B35=3,Hypothèses!$C$28,Hypothèses!$D$28)))+(IF(B35=1,Hypothèses!$B$28,IF(B35=2,Hypothèses!$C$28,IF(B35=3,Hypothèses!$D$28,Hypothèses!$D$28)))-(IF(B35=1,0,IF(B35=2,Hypothèses!$B$28,IF(B35=3,Hypothèses!$C$28,Hypothèses!$D$28)))))*((A35)-INT((A35-1)/12)*12)/12)*$B$1</f>
        <v/>
      </c>
      <c r="J35">
        <f>(IF(B35=1,0,IF(B35=2,Hypothèses!$B$29,IF(B35=3,Hypothèses!$C$29,Hypothèses!$D$29)))+(IF(B35=1,Hypothèses!$B$29,IF(B35=2,Hypothèses!$C$29,IF(B35=3,Hypothèses!$D$29,Hypothèses!$D$29)))-(IF(B35=1,0,IF(B35=2,Hypothèses!$B$29,IF(B35=3,Hypothèses!$C$29,Hypothèses!$D$29)))))*((A35)-INT((A35-1)/12)*12)/12)*$B$1</f>
        <v/>
      </c>
      <c r="K35">
        <f>IF(A35&lt;Hypothèses!$B$7,0,Hypothèses!$B$8*(1-Hypothèses!$B$9)^(A35-Hypothèses!$B$7))</f>
        <v/>
      </c>
      <c r="L35">
        <f>C35+D35+E35+F35</f>
        <v/>
      </c>
      <c r="M35">
        <f>(C35*Hypothèses!$B$11+D35*Hypothèses!$B$12+E35*Hypothèses!$B$13+F35*Hypothèses!$B$14)*(IF(B35=1,Hypothèses!$B$20,IF(B35=2,Hypothèses!$B$21,Hypothèses!$B$22))+(1-(IF(B35=1,Hypothèses!$B$20,IF(B35=2,Hypothèses!$B$21,Hypothèses!$B$22))))*11/12)</f>
        <v/>
      </c>
      <c r="N35">
        <f>L35*IF(B35=1,Hypothèses!$C$20,IF(B35=2,Hypothèses!$C$21,Hypothèses!$C$22))*IF(B35=1,Hypothèses!$D$20,IF(B35=2,Hypothèses!$D$21,Hypothèses!$D$22))</f>
        <v/>
      </c>
      <c r="O35">
        <f>IF(A35=18,IF($B$2&gt;=1,Hypothèses!$B$33,0),IF(AND(OR(A35=30,A35=34),$D$2&gt;=1),Hypothèses!$B$34*MIN(1,$D$2/3),0))</f>
        <v/>
      </c>
      <c r="P35">
        <f>M35+N35+O35</f>
        <v/>
      </c>
      <c r="Q35">
        <f>P35/(1+Hypothèses!$B$6)</f>
        <v/>
      </c>
      <c r="R35">
        <f>Hypothèses!$B$3*(1+Hypothèses!$B$4)^INT((A35-1)/3)</f>
        <v/>
      </c>
      <c r="S35">
        <f>IF($A35&gt;=13,1,0)</f>
        <v/>
      </c>
      <c r="T35">
        <f>S35*Hypothèses!$B$17</f>
        <v/>
      </c>
      <c r="U35">
        <f>Q35*Hypothèses!$B$5</f>
        <v/>
      </c>
      <c r="V35">
        <f>Q35-R35-T35-U35</f>
        <v/>
      </c>
      <c r="W35">
        <f>W34+V35</f>
        <v/>
      </c>
    </row>
    <row r="36">
      <c r="A36" t="n">
        <v>33</v>
      </c>
      <c r="B36">
        <f>INT((A36-1)/12)+1</f>
        <v/>
      </c>
      <c r="C36">
        <f>ROUND(IF(MOD($A36,12)=0,G36,(IF(36=4,0,C35))*(1-$K36)+IF((IF(36=4,0,C35))*(1-$K36)&lt;G36,(G36-(IF(36=4,0,C35))*(1-$K36))*Hypothèses!$B$10,0)),1)</f>
        <v/>
      </c>
      <c r="D36">
        <f>ROUND(IF(MOD($A36,12)=0,H36,(IF(36=4,0,D35))*(1-$K36)+IF((IF(36=4,0,D35))*(1-$K36)&lt;H36,(H36-(IF(36=4,0,D35))*(1-$K36))*Hypothèses!$B$10,0)),1)</f>
        <v/>
      </c>
      <c r="E36">
        <f>ROUND(IF(MOD($A36,12)=0,I36,(IF(36=4,0,E35))*(1-$K36)+IF((IF(36=4,0,E35))*(1-$K36)&lt;I36,(I36-(IF(36=4,0,E35))*(1-$K36))*Hypothèses!$B$10,0)),1)</f>
        <v/>
      </c>
      <c r="F36">
        <f>ROUND(IF(MOD($A36,12)=0,J36,(IF(36=4,0,F35))*(1-$K36)+IF((IF(36=4,0,F35))*(1-$K36)&lt;J36,(J36-(IF(36=4,0,F35))*(1-$K36))*Hypothèses!$B$10,0)),1)</f>
        <v/>
      </c>
      <c r="G36">
        <f>(IF(B36=1,0,IF(B36=2,Hypothèses!$B$26,IF(B36=3,Hypothèses!$C$26,Hypothèses!$D$26)))+(IF(B36=1,Hypothèses!$B$26,IF(B36=2,Hypothèses!$C$26,IF(B36=3,Hypothèses!$D$26,Hypothèses!$D$26)))-(IF(B36=1,0,IF(B36=2,Hypothèses!$B$26,IF(B36=3,Hypothèses!$C$26,Hypothèses!$D$26)))))*((A36)-INT((A36-1)/12)*12)/12)*$B$1</f>
        <v/>
      </c>
      <c r="H36">
        <f>(IF(B36=1,0,IF(B36=2,Hypothèses!$B$27,IF(B36=3,Hypothèses!$C$27,Hypothèses!$D$27)))+(IF(B36=1,Hypothèses!$B$27,IF(B36=2,Hypothèses!$C$27,IF(B36=3,Hypothèses!$D$27,Hypothèses!$D$27)))-(IF(B36=1,0,IF(B36=2,Hypothèses!$B$27,IF(B36=3,Hypothèses!$C$27,Hypothèses!$D$27)))))*((A36)-INT((A36-1)/12)*12)/12)*$B$1</f>
        <v/>
      </c>
      <c r="I36">
        <f>(IF(B36=1,0,IF(B36=2,Hypothèses!$B$28,IF(B36=3,Hypothèses!$C$28,Hypothèses!$D$28)))+(IF(B36=1,Hypothèses!$B$28,IF(B36=2,Hypothèses!$C$28,IF(B36=3,Hypothèses!$D$28,Hypothèses!$D$28)))-(IF(B36=1,0,IF(B36=2,Hypothèses!$B$28,IF(B36=3,Hypothèses!$C$28,Hypothèses!$D$28)))))*((A36)-INT((A36-1)/12)*12)/12)*$B$1</f>
        <v/>
      </c>
      <c r="J36">
        <f>(IF(B36=1,0,IF(B36=2,Hypothèses!$B$29,IF(B36=3,Hypothèses!$C$29,Hypothèses!$D$29)))+(IF(B36=1,Hypothèses!$B$29,IF(B36=2,Hypothèses!$C$29,IF(B36=3,Hypothèses!$D$29,Hypothèses!$D$29)))-(IF(B36=1,0,IF(B36=2,Hypothèses!$B$29,IF(B36=3,Hypothèses!$C$29,Hypothèses!$D$29)))))*((A36)-INT((A36-1)/12)*12)/12)*$B$1</f>
        <v/>
      </c>
      <c r="K36">
        <f>IF(A36&lt;Hypothèses!$B$7,0,Hypothèses!$B$8*(1-Hypothèses!$B$9)^(A36-Hypothèses!$B$7))</f>
        <v/>
      </c>
      <c r="L36">
        <f>C36+D36+E36+F36</f>
        <v/>
      </c>
      <c r="M36">
        <f>(C36*Hypothèses!$B$11+D36*Hypothèses!$B$12+E36*Hypothèses!$B$13+F36*Hypothèses!$B$14)*(IF(B36=1,Hypothèses!$B$20,IF(B36=2,Hypothèses!$B$21,Hypothèses!$B$22))+(1-(IF(B36=1,Hypothèses!$B$20,IF(B36=2,Hypothèses!$B$21,Hypothèses!$B$22))))*11/12)</f>
        <v/>
      </c>
      <c r="N36">
        <f>L36*IF(B36=1,Hypothèses!$C$20,IF(B36=2,Hypothèses!$C$21,Hypothèses!$C$22))*IF(B36=1,Hypothèses!$D$20,IF(B36=2,Hypothèses!$D$21,Hypothèses!$D$22))</f>
        <v/>
      </c>
      <c r="O36">
        <f>IF(A36=18,IF($B$2&gt;=1,Hypothèses!$B$33,0),IF(AND(OR(A36=30,A36=34),$D$2&gt;=1),Hypothèses!$B$34*MIN(1,$D$2/3),0))</f>
        <v/>
      </c>
      <c r="P36">
        <f>M36+N36+O36</f>
        <v/>
      </c>
      <c r="Q36">
        <f>P36/(1+Hypothèses!$B$6)</f>
        <v/>
      </c>
      <c r="R36">
        <f>Hypothèses!$B$3*(1+Hypothèses!$B$4)^INT((A36-1)/3)</f>
        <v/>
      </c>
      <c r="S36">
        <f>IF($A36&gt;=13,1,0)</f>
        <v/>
      </c>
      <c r="T36">
        <f>S36*Hypothèses!$B$17</f>
        <v/>
      </c>
      <c r="U36">
        <f>Q36*Hypothèses!$B$5</f>
        <v/>
      </c>
      <c r="V36">
        <f>Q36-R36-T36-U36</f>
        <v/>
      </c>
      <c r="W36">
        <f>W35+V36</f>
        <v/>
      </c>
    </row>
    <row r="37">
      <c r="A37" t="n">
        <v>34</v>
      </c>
      <c r="B37">
        <f>INT((A37-1)/12)+1</f>
        <v/>
      </c>
      <c r="C37">
        <f>ROUND(IF(MOD($A37,12)=0,G37,(IF(37=4,0,C36))*(1-$K37)+IF((IF(37=4,0,C36))*(1-$K37)&lt;G37,(G37-(IF(37=4,0,C36))*(1-$K37))*Hypothèses!$B$10,0)),1)</f>
        <v/>
      </c>
      <c r="D37">
        <f>ROUND(IF(MOD($A37,12)=0,H37,(IF(37=4,0,D36))*(1-$K37)+IF((IF(37=4,0,D36))*(1-$K37)&lt;H37,(H37-(IF(37=4,0,D36))*(1-$K37))*Hypothèses!$B$10,0)),1)</f>
        <v/>
      </c>
      <c r="E37">
        <f>ROUND(IF(MOD($A37,12)=0,I37,(IF(37=4,0,E36))*(1-$K37)+IF((IF(37=4,0,E36))*(1-$K37)&lt;I37,(I37-(IF(37=4,0,E36))*(1-$K37))*Hypothèses!$B$10,0)),1)</f>
        <v/>
      </c>
      <c r="F37">
        <f>ROUND(IF(MOD($A37,12)=0,J37,(IF(37=4,0,F36))*(1-$K37)+IF((IF(37=4,0,F36))*(1-$K37)&lt;J37,(J37-(IF(37=4,0,F36))*(1-$K37))*Hypothèses!$B$10,0)),1)</f>
        <v/>
      </c>
      <c r="G37">
        <f>(IF(B37=1,0,IF(B37=2,Hypothèses!$B$26,IF(B37=3,Hypothèses!$C$26,Hypothèses!$D$26)))+(IF(B37=1,Hypothèses!$B$26,IF(B37=2,Hypothèses!$C$26,IF(B37=3,Hypothèses!$D$26,Hypothèses!$D$26)))-(IF(B37=1,0,IF(B37=2,Hypothèses!$B$26,IF(B37=3,Hypothèses!$C$26,Hypothèses!$D$26)))))*((A37)-INT((A37-1)/12)*12)/12)*$B$1</f>
        <v/>
      </c>
      <c r="H37">
        <f>(IF(B37=1,0,IF(B37=2,Hypothèses!$B$27,IF(B37=3,Hypothèses!$C$27,Hypothèses!$D$27)))+(IF(B37=1,Hypothèses!$B$27,IF(B37=2,Hypothèses!$C$27,IF(B37=3,Hypothèses!$D$27,Hypothèses!$D$27)))-(IF(B37=1,0,IF(B37=2,Hypothèses!$B$27,IF(B37=3,Hypothèses!$C$27,Hypothèses!$D$27)))))*((A37)-INT((A37-1)/12)*12)/12)*$B$1</f>
        <v/>
      </c>
      <c r="I37">
        <f>(IF(B37=1,0,IF(B37=2,Hypothèses!$B$28,IF(B37=3,Hypothèses!$C$28,Hypothèses!$D$28)))+(IF(B37=1,Hypothèses!$B$28,IF(B37=2,Hypothèses!$C$28,IF(B37=3,Hypothèses!$D$28,Hypothèses!$D$28)))-(IF(B37=1,0,IF(B37=2,Hypothèses!$B$28,IF(B37=3,Hypothèses!$C$28,Hypothèses!$D$28)))))*((A37)-INT((A37-1)/12)*12)/12)*$B$1</f>
        <v/>
      </c>
      <c r="J37">
        <f>(IF(B37=1,0,IF(B37=2,Hypothèses!$B$29,IF(B37=3,Hypothèses!$C$29,Hypothèses!$D$29)))+(IF(B37=1,Hypothèses!$B$29,IF(B37=2,Hypothèses!$C$29,IF(B37=3,Hypothèses!$D$29,Hypothèses!$D$29)))-(IF(B37=1,0,IF(B37=2,Hypothèses!$B$29,IF(B37=3,Hypothèses!$C$29,Hypothèses!$D$29)))))*((A37)-INT((A37-1)/12)*12)/12)*$B$1</f>
        <v/>
      </c>
      <c r="K37">
        <f>IF(A37&lt;Hypothèses!$B$7,0,Hypothèses!$B$8*(1-Hypothèses!$B$9)^(A37-Hypothèses!$B$7))</f>
        <v/>
      </c>
      <c r="L37">
        <f>C37+D37+E37+F37</f>
        <v/>
      </c>
      <c r="M37">
        <f>(C37*Hypothèses!$B$11+D37*Hypothèses!$B$12+E37*Hypothèses!$B$13+F37*Hypothèses!$B$14)*(IF(B37=1,Hypothèses!$B$20,IF(B37=2,Hypothèses!$B$21,Hypothèses!$B$22))+(1-(IF(B37=1,Hypothèses!$B$20,IF(B37=2,Hypothèses!$B$21,Hypothèses!$B$22))))*11/12)</f>
        <v/>
      </c>
      <c r="N37">
        <f>L37*IF(B37=1,Hypothèses!$C$20,IF(B37=2,Hypothèses!$C$21,Hypothèses!$C$22))*IF(B37=1,Hypothèses!$D$20,IF(B37=2,Hypothèses!$D$21,Hypothèses!$D$22))</f>
        <v/>
      </c>
      <c r="O37">
        <f>IF(A37=18,IF($B$2&gt;=1,Hypothèses!$B$33,0),IF(AND(OR(A37=30,A37=34),$D$2&gt;=1),Hypothèses!$B$34*MIN(1,$D$2/3),0))</f>
        <v/>
      </c>
      <c r="P37">
        <f>M37+N37+O37</f>
        <v/>
      </c>
      <c r="Q37">
        <f>P37/(1+Hypothèses!$B$6)</f>
        <v/>
      </c>
      <c r="R37">
        <f>Hypothèses!$B$3*(1+Hypothèses!$B$4)^INT((A37-1)/3)</f>
        <v/>
      </c>
      <c r="S37">
        <f>IF($A37&gt;=13,1,0)</f>
        <v/>
      </c>
      <c r="T37">
        <f>S37*Hypothèses!$B$17</f>
        <v/>
      </c>
      <c r="U37">
        <f>Q37*Hypothèses!$B$5</f>
        <v/>
      </c>
      <c r="V37">
        <f>Q37-R37-T37-U37</f>
        <v/>
      </c>
      <c r="W37">
        <f>W36+V37</f>
        <v/>
      </c>
    </row>
    <row r="38">
      <c r="A38" t="n">
        <v>35</v>
      </c>
      <c r="B38">
        <f>INT((A38-1)/12)+1</f>
        <v/>
      </c>
      <c r="C38">
        <f>ROUND(IF(MOD($A38,12)=0,G38,(IF(38=4,0,C37))*(1-$K38)+IF((IF(38=4,0,C37))*(1-$K38)&lt;G38,(G38-(IF(38=4,0,C37))*(1-$K38))*Hypothèses!$B$10,0)),1)</f>
        <v/>
      </c>
      <c r="D38">
        <f>ROUND(IF(MOD($A38,12)=0,H38,(IF(38=4,0,D37))*(1-$K38)+IF((IF(38=4,0,D37))*(1-$K38)&lt;H38,(H38-(IF(38=4,0,D37))*(1-$K38))*Hypothèses!$B$10,0)),1)</f>
        <v/>
      </c>
      <c r="E38">
        <f>ROUND(IF(MOD($A38,12)=0,I38,(IF(38=4,0,E37))*(1-$K38)+IF((IF(38=4,0,E37))*(1-$K38)&lt;I38,(I38-(IF(38=4,0,E37))*(1-$K38))*Hypothèses!$B$10,0)),1)</f>
        <v/>
      </c>
      <c r="F38">
        <f>ROUND(IF(MOD($A38,12)=0,J38,(IF(38=4,0,F37))*(1-$K38)+IF((IF(38=4,0,F37))*(1-$K38)&lt;J38,(J38-(IF(38=4,0,F37))*(1-$K38))*Hypothèses!$B$10,0)),1)</f>
        <v/>
      </c>
      <c r="G38">
        <f>(IF(B38=1,0,IF(B38=2,Hypothèses!$B$26,IF(B38=3,Hypothèses!$C$26,Hypothèses!$D$26)))+(IF(B38=1,Hypothèses!$B$26,IF(B38=2,Hypothèses!$C$26,IF(B38=3,Hypothèses!$D$26,Hypothèses!$D$26)))-(IF(B38=1,0,IF(B38=2,Hypothèses!$B$26,IF(B38=3,Hypothèses!$C$26,Hypothèses!$D$26)))))*((A38)-INT((A38-1)/12)*12)/12)*$B$1</f>
        <v/>
      </c>
      <c r="H38">
        <f>(IF(B38=1,0,IF(B38=2,Hypothèses!$B$27,IF(B38=3,Hypothèses!$C$27,Hypothèses!$D$27)))+(IF(B38=1,Hypothèses!$B$27,IF(B38=2,Hypothèses!$C$27,IF(B38=3,Hypothèses!$D$27,Hypothèses!$D$27)))-(IF(B38=1,0,IF(B38=2,Hypothèses!$B$27,IF(B38=3,Hypothèses!$C$27,Hypothèses!$D$27)))))*((A38)-INT((A38-1)/12)*12)/12)*$B$1</f>
        <v/>
      </c>
      <c r="I38">
        <f>(IF(B38=1,0,IF(B38=2,Hypothèses!$B$28,IF(B38=3,Hypothèses!$C$28,Hypothèses!$D$28)))+(IF(B38=1,Hypothèses!$B$28,IF(B38=2,Hypothèses!$C$28,IF(B38=3,Hypothèses!$D$28,Hypothèses!$D$28)))-(IF(B38=1,0,IF(B38=2,Hypothèses!$B$28,IF(B38=3,Hypothèses!$C$28,Hypothèses!$D$28)))))*((A38)-INT((A38-1)/12)*12)/12)*$B$1</f>
        <v/>
      </c>
      <c r="J38">
        <f>(IF(B38=1,0,IF(B38=2,Hypothèses!$B$29,IF(B38=3,Hypothèses!$C$29,Hypothèses!$D$29)))+(IF(B38=1,Hypothèses!$B$29,IF(B38=2,Hypothèses!$C$29,IF(B38=3,Hypothèses!$D$29,Hypothèses!$D$29)))-(IF(B38=1,0,IF(B38=2,Hypothèses!$B$29,IF(B38=3,Hypothèses!$C$29,Hypothèses!$D$29)))))*((A38)-INT((A38-1)/12)*12)/12)*$B$1</f>
        <v/>
      </c>
      <c r="K38">
        <f>IF(A38&lt;Hypothèses!$B$7,0,Hypothèses!$B$8*(1-Hypothèses!$B$9)^(A38-Hypothèses!$B$7))</f>
        <v/>
      </c>
      <c r="L38">
        <f>C38+D38+E38+F38</f>
        <v/>
      </c>
      <c r="M38">
        <f>(C38*Hypothèses!$B$11+D38*Hypothèses!$B$12+E38*Hypothèses!$B$13+F38*Hypothèses!$B$14)*(IF(B38=1,Hypothèses!$B$20,IF(B38=2,Hypothèses!$B$21,Hypothèses!$B$22))+(1-(IF(B38=1,Hypothèses!$B$20,IF(B38=2,Hypothèses!$B$21,Hypothèses!$B$22))))*11/12)</f>
        <v/>
      </c>
      <c r="N38">
        <f>L38*IF(B38=1,Hypothèses!$C$20,IF(B38=2,Hypothèses!$C$21,Hypothèses!$C$22))*IF(B38=1,Hypothèses!$D$20,IF(B38=2,Hypothèses!$D$21,Hypothèses!$D$22))</f>
        <v/>
      </c>
      <c r="O38">
        <f>IF(A38=18,IF($B$2&gt;=1,Hypothèses!$B$33,0),IF(AND(OR(A38=30,A38=34),$D$2&gt;=1),Hypothèses!$B$34*MIN(1,$D$2/3),0))</f>
        <v/>
      </c>
      <c r="P38">
        <f>M38+N38+O38</f>
        <v/>
      </c>
      <c r="Q38">
        <f>P38/(1+Hypothèses!$B$6)</f>
        <v/>
      </c>
      <c r="R38">
        <f>Hypothèses!$B$3*(1+Hypothèses!$B$4)^INT((A38-1)/3)</f>
        <v/>
      </c>
      <c r="S38">
        <f>IF($A38&gt;=13,1,0)</f>
        <v/>
      </c>
      <c r="T38">
        <f>S38*Hypothèses!$B$17</f>
        <v/>
      </c>
      <c r="U38">
        <f>Q38*Hypothèses!$B$5</f>
        <v/>
      </c>
      <c r="V38">
        <f>Q38-R38-T38-U38</f>
        <v/>
      </c>
      <c r="W38">
        <f>W37+V38</f>
        <v/>
      </c>
    </row>
    <row r="39">
      <c r="A39" t="n">
        <v>36</v>
      </c>
      <c r="B39">
        <f>INT((A39-1)/12)+1</f>
        <v/>
      </c>
      <c r="C39">
        <f>ROUND(IF(MOD($A39,12)=0,G39,(IF(39=4,0,C38))*(1-$K39)+IF((IF(39=4,0,C38))*(1-$K39)&lt;G39,(G39-(IF(39=4,0,C38))*(1-$K39))*Hypothèses!$B$10,0)),1)</f>
        <v/>
      </c>
      <c r="D39">
        <f>ROUND(IF(MOD($A39,12)=0,H39,(IF(39=4,0,D38))*(1-$K39)+IF((IF(39=4,0,D38))*(1-$K39)&lt;H39,(H39-(IF(39=4,0,D38))*(1-$K39))*Hypothèses!$B$10,0)),1)</f>
        <v/>
      </c>
      <c r="E39">
        <f>ROUND(IF(MOD($A39,12)=0,I39,(IF(39=4,0,E38))*(1-$K39)+IF((IF(39=4,0,E38))*(1-$K39)&lt;I39,(I39-(IF(39=4,0,E38))*(1-$K39))*Hypothèses!$B$10,0)),1)</f>
        <v/>
      </c>
      <c r="F39">
        <f>ROUND(IF(MOD($A39,12)=0,J39,(IF(39=4,0,F38))*(1-$K39)+IF((IF(39=4,0,F38))*(1-$K39)&lt;J39,(J39-(IF(39=4,0,F38))*(1-$K39))*Hypothèses!$B$10,0)),1)</f>
        <v/>
      </c>
      <c r="G39">
        <f>(IF(B39=1,0,IF(B39=2,Hypothèses!$B$26,IF(B39=3,Hypothèses!$C$26,Hypothèses!$D$26)))+(IF(B39=1,Hypothèses!$B$26,IF(B39=2,Hypothèses!$C$26,IF(B39=3,Hypothèses!$D$26,Hypothèses!$D$26)))-(IF(B39=1,0,IF(B39=2,Hypothèses!$B$26,IF(B39=3,Hypothèses!$C$26,Hypothèses!$D$26)))))*((A39)-INT((A39-1)/12)*12)/12)*$B$1</f>
        <v/>
      </c>
      <c r="H39">
        <f>(IF(B39=1,0,IF(B39=2,Hypothèses!$B$27,IF(B39=3,Hypothèses!$C$27,Hypothèses!$D$27)))+(IF(B39=1,Hypothèses!$B$27,IF(B39=2,Hypothèses!$C$27,IF(B39=3,Hypothèses!$D$27,Hypothèses!$D$27)))-(IF(B39=1,0,IF(B39=2,Hypothèses!$B$27,IF(B39=3,Hypothèses!$C$27,Hypothèses!$D$27)))))*((A39)-INT((A39-1)/12)*12)/12)*$B$1</f>
        <v/>
      </c>
      <c r="I39">
        <f>(IF(B39=1,0,IF(B39=2,Hypothèses!$B$28,IF(B39=3,Hypothèses!$C$28,Hypothèses!$D$28)))+(IF(B39=1,Hypothèses!$B$28,IF(B39=2,Hypothèses!$C$28,IF(B39=3,Hypothèses!$D$28,Hypothèses!$D$28)))-(IF(B39=1,0,IF(B39=2,Hypothèses!$B$28,IF(B39=3,Hypothèses!$C$28,Hypothèses!$D$28)))))*((A39)-INT((A39-1)/12)*12)/12)*$B$1</f>
        <v/>
      </c>
      <c r="J39">
        <f>(IF(B39=1,0,IF(B39=2,Hypothèses!$B$29,IF(B39=3,Hypothèses!$C$29,Hypothèses!$D$29)))+(IF(B39=1,Hypothèses!$B$29,IF(B39=2,Hypothèses!$C$29,IF(B39=3,Hypothèses!$D$29,Hypothèses!$D$29)))-(IF(B39=1,0,IF(B39=2,Hypothèses!$B$29,IF(B39=3,Hypothèses!$C$29,Hypothèses!$D$29)))))*((A39)-INT((A39-1)/12)*12)/12)*$B$1</f>
        <v/>
      </c>
      <c r="K39">
        <f>IF(A39&lt;Hypothèses!$B$7,0,Hypothèses!$B$8*(1-Hypothèses!$B$9)^(A39-Hypothèses!$B$7))</f>
        <v/>
      </c>
      <c r="L39">
        <f>C39+D39+E39+F39</f>
        <v/>
      </c>
      <c r="M39">
        <f>(C39*Hypothèses!$B$11+D39*Hypothèses!$B$12+E39*Hypothèses!$B$13+F39*Hypothèses!$B$14)*(IF(B39=1,Hypothèses!$B$20,IF(B39=2,Hypothèses!$B$21,Hypothèses!$B$22))+(1-(IF(B39=1,Hypothèses!$B$20,IF(B39=2,Hypothèses!$B$21,Hypothèses!$B$22))))*11/12)</f>
        <v/>
      </c>
      <c r="N39">
        <f>L39*IF(B39=1,Hypothèses!$C$20,IF(B39=2,Hypothèses!$C$21,Hypothèses!$C$22))*IF(B39=1,Hypothèses!$D$20,IF(B39=2,Hypothèses!$D$21,Hypothèses!$D$22))</f>
        <v/>
      </c>
      <c r="O39">
        <f>IF(A39=18,IF($B$2&gt;=1,Hypothèses!$B$33,0),IF(AND(OR(A39=30,A39=34),$D$2&gt;=1),Hypothèses!$B$34*MIN(1,$D$2/3),0))</f>
        <v/>
      </c>
      <c r="P39">
        <f>M39+N39+O39</f>
        <v/>
      </c>
      <c r="Q39">
        <f>P39/(1+Hypothèses!$B$6)</f>
        <v/>
      </c>
      <c r="R39">
        <f>Hypothèses!$B$3*(1+Hypothèses!$B$4)^INT((A39-1)/3)</f>
        <v/>
      </c>
      <c r="S39">
        <f>IF($A39&gt;=13,1,0)</f>
        <v/>
      </c>
      <c r="T39">
        <f>S39*Hypothèses!$B$17</f>
        <v/>
      </c>
      <c r="U39">
        <f>Q39*Hypothèses!$B$5</f>
        <v/>
      </c>
      <c r="V39">
        <f>Q39-R39-T39-U39</f>
        <v/>
      </c>
      <c r="W39">
        <f>W38+V39</f>
        <v/>
      </c>
    </row>
    <row r="41">
      <c r="A41" s="2" t="inlineStr">
        <is>
          <t>Synthèse annuelle</t>
        </is>
      </c>
    </row>
    <row r="42">
      <c r="A42" t="inlineStr">
        <is>
          <t>Année</t>
        </is>
      </c>
      <c r="B42" t="inlineStr">
        <is>
          <t>CA HT</t>
        </is>
      </c>
      <c r="C42" t="inlineStr">
        <is>
          <t>EBITDA</t>
        </is>
      </c>
      <c r="D42" t="inlineStr">
        <is>
          <t>Sous-traitance dev</t>
        </is>
      </c>
      <c r="E42" t="inlineStr">
        <is>
          <t>Trésorerie fin</t>
        </is>
      </c>
    </row>
    <row r="43">
      <c r="A43" t="inlineStr">
        <is>
          <t>A1</t>
        </is>
      </c>
      <c r="B43">
        <f>SUMIF($B$4:$B$39,1,$Q$4:$Q$39)</f>
        <v/>
      </c>
      <c r="C43">
        <f>SUMIF($B$4:$B$39,1,$V$4:$V$39)</f>
        <v/>
      </c>
      <c r="D43">
        <f>SUMIF($B$4:$B$39,1,$T$4:$T$39)</f>
        <v/>
      </c>
      <c r="E43">
        <f>W15</f>
        <v/>
      </c>
    </row>
    <row r="44">
      <c r="A44" t="inlineStr">
        <is>
          <t>A2</t>
        </is>
      </c>
      <c r="B44">
        <f>SUMIF($B$4:$B$39,2,$Q$4:$Q$39)</f>
        <v/>
      </c>
      <c r="C44">
        <f>SUMIF($B$4:$B$39,2,$V$4:$V$39)</f>
        <v/>
      </c>
      <c r="D44">
        <f>SUMIF($B$4:$B$39,2,$T$4:$T$39)</f>
        <v/>
      </c>
      <c r="E44">
        <f>W27</f>
        <v/>
      </c>
    </row>
    <row r="45">
      <c r="A45" t="inlineStr">
        <is>
          <t>A3</t>
        </is>
      </c>
      <c r="B45">
        <f>SUMIF($B$4:$B$39,3,$Q$4:$Q$39)</f>
        <v/>
      </c>
      <c r="C45">
        <f>SUMIF($B$4:$B$39,3,$V$4:$V$39)</f>
        <v/>
      </c>
      <c r="D45">
        <f>SUMIF($B$4:$B$39,3,$T$4:$T$39)</f>
        <v/>
      </c>
      <c r="E45">
        <f>W39</f>
        <v/>
      </c>
    </row>
    <row r="47">
      <c r="A47" s="3" t="inlineStr">
        <is>
          <t>Effectifs fin A3 (cible × facteur)</t>
        </is>
      </c>
    </row>
    <row r="48">
      <c r="A48">
        <f>ROUND(Hypothèses!$D$26*$B$1,0)&amp;" Atelier · "&amp;ROUND(Hypothèses!$D$27*$B$1,0)&amp;" Horizon · "&amp;ROUND(Hypothèses!$D$28*$B$1,0)&amp;" Enverg. · "&amp;ROUND(Hypothèses!$D$29*$B$1,0)&amp;" Rayonn."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t="inlineStr">
        <is>
          <t>Facteur clients (scénario)</t>
        </is>
      </c>
      <c r="B1" t="n">
        <v>1.3</v>
      </c>
    </row>
    <row r="2">
      <c r="A2" t="inlineStr">
        <is>
          <t>Zénith fin A2 (cible)</t>
        </is>
      </c>
      <c r="B2">
        <f>ROUND(Hypothèses!$C$30*$B$1,0)</f>
        <v/>
      </c>
      <c r="C2" t="inlineStr">
        <is>
          <t>Zénith fin A3 (cible)</t>
        </is>
      </c>
      <c r="D2">
        <f>ROUND(Hypothèses!$D$30*$B$1,0)</f>
        <v/>
      </c>
    </row>
    <row r="3">
      <c r="A3" s="1" t="inlineStr">
        <is>
          <t>Mois</t>
        </is>
      </c>
      <c r="B3" s="1" t="inlineStr">
        <is>
          <t>Année</t>
        </is>
      </c>
      <c r="C3" s="1" t="inlineStr">
        <is>
          <t>Atelier</t>
        </is>
      </c>
      <c r="D3" s="1" t="inlineStr">
        <is>
          <t>Horizon</t>
        </is>
      </c>
      <c r="E3" s="1" t="inlineStr">
        <is>
          <t>Envergure</t>
        </is>
      </c>
      <c r="F3" s="1" t="inlineStr">
        <is>
          <t>Rayonnement</t>
        </is>
      </c>
      <c r="G3" s="1" t="inlineStr">
        <is>
          <t>Cible Atelier</t>
        </is>
      </c>
      <c r="H3" s="1" t="inlineStr">
        <is>
          <t>Cible Horizon</t>
        </is>
      </c>
      <c r="I3" s="1" t="inlineStr">
        <is>
          <t>Cible Enverg.</t>
        </is>
      </c>
      <c r="J3" s="1" t="inlineStr">
        <is>
          <t>Cible Rayonn.</t>
        </is>
      </c>
      <c r="K3" s="1" t="inlineStr">
        <is>
          <t>Taux churn</t>
        </is>
      </c>
      <c r="L3" s="1" t="inlineStr">
        <is>
          <t>Clients payants</t>
        </is>
      </c>
      <c r="M3" s="1" t="inlineStr">
        <is>
          <t>MRR abo TTC</t>
        </is>
      </c>
      <c r="N3" s="1" t="inlineStr">
        <is>
          <t>Options TTC</t>
        </is>
      </c>
      <c r="O3" s="1" t="inlineStr">
        <is>
          <t>Zénith TTC</t>
        </is>
      </c>
      <c r="P3" s="1" t="inlineStr">
        <is>
          <t>CA TTC</t>
        </is>
      </c>
      <c r="Q3" s="1" t="inlineStr">
        <is>
          <t>CA HT</t>
        </is>
      </c>
      <c r="R3" s="1" t="inlineStr">
        <is>
          <t>Frais fixes infra</t>
        </is>
      </c>
      <c r="S3" s="1" t="inlineStr">
        <is>
          <t>Nb développeurs</t>
        </is>
      </c>
      <c r="T3" s="1" t="inlineStr">
        <is>
          <t>Sous-traitance dev (HT)</t>
        </is>
      </c>
      <c r="U3" s="1" t="inlineStr">
        <is>
          <t>Frais variables 1%</t>
        </is>
      </c>
      <c r="V3" s="1" t="inlineStr">
        <is>
          <t>EBITDA</t>
        </is>
      </c>
      <c r="W3" s="1" t="inlineStr">
        <is>
          <t>Trésorerie</t>
        </is>
      </c>
    </row>
    <row r="4">
      <c r="A4" t="n">
        <v>1</v>
      </c>
      <c r="B4">
        <f>INT((A4-1)/12)+1</f>
        <v/>
      </c>
      <c r="C4">
        <f>ROUND(IF(MOD($A4,12)=0,G4,(IF(4=4,0,C3))*(1-$K4)+IF((IF(4=4,0,C3))*(1-$K4)&lt;G4,(G4-(IF(4=4,0,C3))*(1-$K4))*Hypothèses!$B$10,0)),1)</f>
        <v/>
      </c>
      <c r="D4">
        <f>ROUND(IF(MOD($A4,12)=0,H4,(IF(4=4,0,D3))*(1-$K4)+IF((IF(4=4,0,D3))*(1-$K4)&lt;H4,(H4-(IF(4=4,0,D3))*(1-$K4))*Hypothèses!$B$10,0)),1)</f>
        <v/>
      </c>
      <c r="E4">
        <f>ROUND(IF(MOD($A4,12)=0,I4,(IF(4=4,0,E3))*(1-$K4)+IF((IF(4=4,0,E3))*(1-$K4)&lt;I4,(I4-(IF(4=4,0,E3))*(1-$K4))*Hypothèses!$B$10,0)),1)</f>
        <v/>
      </c>
      <c r="F4">
        <f>ROUND(IF(MOD($A4,12)=0,J4,(IF(4=4,0,F3))*(1-$K4)+IF((IF(4=4,0,F3))*(1-$K4)&lt;J4,(J4-(IF(4=4,0,F3))*(1-$K4))*Hypothèses!$B$10,0)),1)</f>
        <v/>
      </c>
      <c r="G4">
        <f>(IF(B4=1,0,IF(B4=2,Hypothèses!$B$26,IF(B4=3,Hypothèses!$C$26,Hypothèses!$D$26)))+(IF(B4=1,Hypothèses!$B$26,IF(B4=2,Hypothèses!$C$26,IF(B4=3,Hypothèses!$D$26,Hypothèses!$D$26)))-(IF(B4=1,0,IF(B4=2,Hypothèses!$B$26,IF(B4=3,Hypothèses!$C$26,Hypothèses!$D$26)))))*((A4)-INT((A4-1)/12)*12)/12)*$B$1</f>
        <v/>
      </c>
      <c r="H4">
        <f>(IF(B4=1,0,IF(B4=2,Hypothèses!$B$27,IF(B4=3,Hypothèses!$C$27,Hypothèses!$D$27)))+(IF(B4=1,Hypothèses!$B$27,IF(B4=2,Hypothèses!$C$27,IF(B4=3,Hypothèses!$D$27,Hypothèses!$D$27)))-(IF(B4=1,0,IF(B4=2,Hypothèses!$B$27,IF(B4=3,Hypothèses!$C$27,Hypothèses!$D$27)))))*((A4)-INT((A4-1)/12)*12)/12)*$B$1</f>
        <v/>
      </c>
      <c r="I4">
        <f>(IF(B4=1,0,IF(B4=2,Hypothèses!$B$28,IF(B4=3,Hypothèses!$C$28,Hypothèses!$D$28)))+(IF(B4=1,Hypothèses!$B$28,IF(B4=2,Hypothèses!$C$28,IF(B4=3,Hypothèses!$D$28,Hypothèses!$D$28)))-(IF(B4=1,0,IF(B4=2,Hypothèses!$B$28,IF(B4=3,Hypothèses!$C$28,Hypothèses!$D$28)))))*((A4)-INT((A4-1)/12)*12)/12)*$B$1</f>
        <v/>
      </c>
      <c r="J4">
        <f>(IF(B4=1,0,IF(B4=2,Hypothèses!$B$29,IF(B4=3,Hypothèses!$C$29,Hypothèses!$D$29)))+(IF(B4=1,Hypothèses!$B$29,IF(B4=2,Hypothèses!$C$29,IF(B4=3,Hypothèses!$D$29,Hypothèses!$D$29)))-(IF(B4=1,0,IF(B4=2,Hypothèses!$B$29,IF(B4=3,Hypothèses!$C$29,Hypothèses!$D$29)))))*((A4)-INT((A4-1)/12)*12)/12)*$B$1</f>
        <v/>
      </c>
      <c r="K4">
        <f>IF(A4&lt;Hypothèses!$B$7,0,Hypothèses!$B$8*(1-Hypothèses!$B$9)^(A4-Hypothèses!$B$7))</f>
        <v/>
      </c>
      <c r="L4">
        <f>C4+D4+E4+F4</f>
        <v/>
      </c>
      <c r="M4">
        <f>(C4*Hypothèses!$B$11+D4*Hypothèses!$B$12+E4*Hypothèses!$B$13+F4*Hypothèses!$B$14)*(IF(B4=1,Hypothèses!$B$20,IF(B4=2,Hypothèses!$B$21,Hypothèses!$B$22))+(1-(IF(B4=1,Hypothèses!$B$20,IF(B4=2,Hypothèses!$B$21,Hypothèses!$B$22))))*11/12)</f>
        <v/>
      </c>
      <c r="N4">
        <f>L4*IF(B4=1,Hypothèses!$C$20,IF(B4=2,Hypothèses!$C$21,Hypothèses!$C$22))*IF(B4=1,Hypothèses!$D$20,IF(B4=2,Hypothèses!$D$21,Hypothèses!$D$22))</f>
        <v/>
      </c>
      <c r="O4">
        <f>IF(A4=18,IF($B$2&gt;=1,Hypothèses!$B$33,0),IF(AND(OR(A4=30,A4=34),$D$2&gt;=1),Hypothèses!$B$34*MIN(1,$D$2/3),0))</f>
        <v/>
      </c>
      <c r="P4">
        <f>M4+N4+O4</f>
        <v/>
      </c>
      <c r="Q4">
        <f>P4/(1+Hypothèses!$B$6)</f>
        <v/>
      </c>
      <c r="R4">
        <f>Hypothèses!$B$3*(1+Hypothèses!$B$4)^INT((A4-1)/3)</f>
        <v/>
      </c>
      <c r="S4">
        <f>IF($A4&lt;7,2,IF($A4&lt;13,3,IF($A4&lt;19,4,5)))</f>
        <v/>
      </c>
      <c r="T4">
        <f>S4*Hypothèses!$B$17</f>
        <v/>
      </c>
      <c r="U4">
        <f>Q4*Hypothèses!$B$5</f>
        <v/>
      </c>
      <c r="V4">
        <f>Q4-R4-T4-U4</f>
        <v/>
      </c>
      <c r="W4">
        <f>Hypothèses!$B$2+V4</f>
        <v/>
      </c>
    </row>
    <row r="5">
      <c r="A5" t="n">
        <v>2</v>
      </c>
      <c r="B5">
        <f>INT((A5-1)/12)+1</f>
        <v/>
      </c>
      <c r="C5">
        <f>ROUND(IF(MOD($A5,12)=0,G5,(IF(5=4,0,C4))*(1-$K5)+IF((IF(5=4,0,C4))*(1-$K5)&lt;G5,(G5-(IF(5=4,0,C4))*(1-$K5))*Hypothèses!$B$10,0)),1)</f>
        <v/>
      </c>
      <c r="D5">
        <f>ROUND(IF(MOD($A5,12)=0,H5,(IF(5=4,0,D4))*(1-$K5)+IF((IF(5=4,0,D4))*(1-$K5)&lt;H5,(H5-(IF(5=4,0,D4))*(1-$K5))*Hypothèses!$B$10,0)),1)</f>
        <v/>
      </c>
      <c r="E5">
        <f>ROUND(IF(MOD($A5,12)=0,I5,(IF(5=4,0,E4))*(1-$K5)+IF((IF(5=4,0,E4))*(1-$K5)&lt;I5,(I5-(IF(5=4,0,E4))*(1-$K5))*Hypothèses!$B$10,0)),1)</f>
        <v/>
      </c>
      <c r="F5">
        <f>ROUND(IF(MOD($A5,12)=0,J5,(IF(5=4,0,F4))*(1-$K5)+IF((IF(5=4,0,F4))*(1-$K5)&lt;J5,(J5-(IF(5=4,0,F4))*(1-$K5))*Hypothèses!$B$10,0)),1)</f>
        <v/>
      </c>
      <c r="G5">
        <f>(IF(B5=1,0,IF(B5=2,Hypothèses!$B$26,IF(B5=3,Hypothèses!$C$26,Hypothèses!$D$26)))+(IF(B5=1,Hypothèses!$B$26,IF(B5=2,Hypothèses!$C$26,IF(B5=3,Hypothèses!$D$26,Hypothèses!$D$26)))-(IF(B5=1,0,IF(B5=2,Hypothèses!$B$26,IF(B5=3,Hypothèses!$C$26,Hypothèses!$D$26)))))*((A5)-INT((A5-1)/12)*12)/12)*$B$1</f>
        <v/>
      </c>
      <c r="H5">
        <f>(IF(B5=1,0,IF(B5=2,Hypothèses!$B$27,IF(B5=3,Hypothèses!$C$27,Hypothèses!$D$27)))+(IF(B5=1,Hypothèses!$B$27,IF(B5=2,Hypothèses!$C$27,IF(B5=3,Hypothèses!$D$27,Hypothèses!$D$27)))-(IF(B5=1,0,IF(B5=2,Hypothèses!$B$27,IF(B5=3,Hypothèses!$C$27,Hypothèses!$D$27)))))*((A5)-INT((A5-1)/12)*12)/12)*$B$1</f>
        <v/>
      </c>
      <c r="I5">
        <f>(IF(B5=1,0,IF(B5=2,Hypothèses!$B$28,IF(B5=3,Hypothèses!$C$28,Hypothèses!$D$28)))+(IF(B5=1,Hypothèses!$B$28,IF(B5=2,Hypothèses!$C$28,IF(B5=3,Hypothèses!$D$28,Hypothèses!$D$28)))-(IF(B5=1,0,IF(B5=2,Hypothèses!$B$28,IF(B5=3,Hypothèses!$C$28,Hypothèses!$D$28)))))*((A5)-INT((A5-1)/12)*12)/12)*$B$1</f>
        <v/>
      </c>
      <c r="J5">
        <f>(IF(B5=1,0,IF(B5=2,Hypothèses!$B$29,IF(B5=3,Hypothèses!$C$29,Hypothèses!$D$29)))+(IF(B5=1,Hypothèses!$B$29,IF(B5=2,Hypothèses!$C$29,IF(B5=3,Hypothèses!$D$29,Hypothèses!$D$29)))-(IF(B5=1,0,IF(B5=2,Hypothèses!$B$29,IF(B5=3,Hypothèses!$C$29,Hypothèses!$D$29)))))*((A5)-INT((A5-1)/12)*12)/12)*$B$1</f>
        <v/>
      </c>
      <c r="K5">
        <f>IF(A5&lt;Hypothèses!$B$7,0,Hypothèses!$B$8*(1-Hypothèses!$B$9)^(A5-Hypothèses!$B$7))</f>
        <v/>
      </c>
      <c r="L5">
        <f>C5+D5+E5+F5</f>
        <v/>
      </c>
      <c r="M5">
        <f>(C5*Hypothèses!$B$11+D5*Hypothèses!$B$12+E5*Hypothèses!$B$13+F5*Hypothèses!$B$14)*(IF(B5=1,Hypothèses!$B$20,IF(B5=2,Hypothèses!$B$21,Hypothèses!$B$22))+(1-(IF(B5=1,Hypothèses!$B$20,IF(B5=2,Hypothèses!$B$21,Hypothèses!$B$22))))*11/12)</f>
        <v/>
      </c>
      <c r="N5">
        <f>L5*IF(B5=1,Hypothèses!$C$20,IF(B5=2,Hypothèses!$C$21,Hypothèses!$C$22))*IF(B5=1,Hypothèses!$D$20,IF(B5=2,Hypothèses!$D$21,Hypothèses!$D$22))</f>
        <v/>
      </c>
      <c r="O5">
        <f>IF(A5=18,IF($B$2&gt;=1,Hypothèses!$B$33,0),IF(AND(OR(A5=30,A5=34),$D$2&gt;=1),Hypothèses!$B$34*MIN(1,$D$2/3),0))</f>
        <v/>
      </c>
      <c r="P5">
        <f>M5+N5+O5</f>
        <v/>
      </c>
      <c r="Q5">
        <f>P5/(1+Hypothèses!$B$6)</f>
        <v/>
      </c>
      <c r="R5">
        <f>Hypothèses!$B$3*(1+Hypothèses!$B$4)^INT((A5-1)/3)</f>
        <v/>
      </c>
      <c r="S5">
        <f>IF($A5&lt;7,2,IF($A5&lt;13,3,IF($A5&lt;19,4,5)))</f>
        <v/>
      </c>
      <c r="T5">
        <f>S5*Hypothèses!$B$17</f>
        <v/>
      </c>
      <c r="U5">
        <f>Q5*Hypothèses!$B$5</f>
        <v/>
      </c>
      <c r="V5">
        <f>Q5-R5-T5-U5</f>
        <v/>
      </c>
      <c r="W5">
        <f>W4+V5</f>
        <v/>
      </c>
    </row>
    <row r="6">
      <c r="A6" t="n">
        <v>3</v>
      </c>
      <c r="B6">
        <f>INT((A6-1)/12)+1</f>
        <v/>
      </c>
      <c r="C6">
        <f>ROUND(IF(MOD($A6,12)=0,G6,(IF(6=4,0,C5))*(1-$K6)+IF((IF(6=4,0,C5))*(1-$K6)&lt;G6,(G6-(IF(6=4,0,C5))*(1-$K6))*Hypothèses!$B$10,0)),1)</f>
        <v/>
      </c>
      <c r="D6">
        <f>ROUND(IF(MOD($A6,12)=0,H6,(IF(6=4,0,D5))*(1-$K6)+IF((IF(6=4,0,D5))*(1-$K6)&lt;H6,(H6-(IF(6=4,0,D5))*(1-$K6))*Hypothèses!$B$10,0)),1)</f>
        <v/>
      </c>
      <c r="E6">
        <f>ROUND(IF(MOD($A6,12)=0,I6,(IF(6=4,0,E5))*(1-$K6)+IF((IF(6=4,0,E5))*(1-$K6)&lt;I6,(I6-(IF(6=4,0,E5))*(1-$K6))*Hypothèses!$B$10,0)),1)</f>
        <v/>
      </c>
      <c r="F6">
        <f>ROUND(IF(MOD($A6,12)=0,J6,(IF(6=4,0,F5))*(1-$K6)+IF((IF(6=4,0,F5))*(1-$K6)&lt;J6,(J6-(IF(6=4,0,F5))*(1-$K6))*Hypothèses!$B$10,0)),1)</f>
        <v/>
      </c>
      <c r="G6">
        <f>(IF(B6=1,0,IF(B6=2,Hypothèses!$B$26,IF(B6=3,Hypothèses!$C$26,Hypothèses!$D$26)))+(IF(B6=1,Hypothèses!$B$26,IF(B6=2,Hypothèses!$C$26,IF(B6=3,Hypothèses!$D$26,Hypothèses!$D$26)))-(IF(B6=1,0,IF(B6=2,Hypothèses!$B$26,IF(B6=3,Hypothèses!$C$26,Hypothèses!$D$26)))))*((A6)-INT((A6-1)/12)*12)/12)*$B$1</f>
        <v/>
      </c>
      <c r="H6">
        <f>(IF(B6=1,0,IF(B6=2,Hypothèses!$B$27,IF(B6=3,Hypothèses!$C$27,Hypothèses!$D$27)))+(IF(B6=1,Hypothèses!$B$27,IF(B6=2,Hypothèses!$C$27,IF(B6=3,Hypothèses!$D$27,Hypothèses!$D$27)))-(IF(B6=1,0,IF(B6=2,Hypothèses!$B$27,IF(B6=3,Hypothèses!$C$27,Hypothèses!$D$27)))))*((A6)-INT((A6-1)/12)*12)/12)*$B$1</f>
        <v/>
      </c>
      <c r="I6">
        <f>(IF(B6=1,0,IF(B6=2,Hypothèses!$B$28,IF(B6=3,Hypothèses!$C$28,Hypothèses!$D$28)))+(IF(B6=1,Hypothèses!$B$28,IF(B6=2,Hypothèses!$C$28,IF(B6=3,Hypothèses!$D$28,Hypothèses!$D$28)))-(IF(B6=1,0,IF(B6=2,Hypothèses!$B$28,IF(B6=3,Hypothèses!$C$28,Hypothèses!$D$28)))))*((A6)-INT((A6-1)/12)*12)/12)*$B$1</f>
        <v/>
      </c>
      <c r="J6">
        <f>(IF(B6=1,0,IF(B6=2,Hypothèses!$B$29,IF(B6=3,Hypothèses!$C$29,Hypothèses!$D$29)))+(IF(B6=1,Hypothèses!$B$29,IF(B6=2,Hypothèses!$C$29,IF(B6=3,Hypothèses!$D$29,Hypothèses!$D$29)))-(IF(B6=1,0,IF(B6=2,Hypothèses!$B$29,IF(B6=3,Hypothèses!$C$29,Hypothèses!$D$29)))))*((A6)-INT((A6-1)/12)*12)/12)*$B$1</f>
        <v/>
      </c>
      <c r="K6">
        <f>IF(A6&lt;Hypothèses!$B$7,0,Hypothèses!$B$8*(1-Hypothèses!$B$9)^(A6-Hypothèses!$B$7))</f>
        <v/>
      </c>
      <c r="L6">
        <f>C6+D6+E6+F6</f>
        <v/>
      </c>
      <c r="M6">
        <f>(C6*Hypothèses!$B$11+D6*Hypothèses!$B$12+E6*Hypothèses!$B$13+F6*Hypothèses!$B$14)*(IF(B6=1,Hypothèses!$B$20,IF(B6=2,Hypothèses!$B$21,Hypothèses!$B$22))+(1-(IF(B6=1,Hypothèses!$B$20,IF(B6=2,Hypothèses!$B$21,Hypothèses!$B$22))))*11/12)</f>
        <v/>
      </c>
      <c r="N6">
        <f>L6*IF(B6=1,Hypothèses!$C$20,IF(B6=2,Hypothèses!$C$21,Hypothèses!$C$22))*IF(B6=1,Hypothèses!$D$20,IF(B6=2,Hypothèses!$D$21,Hypothèses!$D$22))</f>
        <v/>
      </c>
      <c r="O6">
        <f>IF(A6=18,IF($B$2&gt;=1,Hypothèses!$B$33,0),IF(AND(OR(A6=30,A6=34),$D$2&gt;=1),Hypothèses!$B$34*MIN(1,$D$2/3),0))</f>
        <v/>
      </c>
      <c r="P6">
        <f>M6+N6+O6</f>
        <v/>
      </c>
      <c r="Q6">
        <f>P6/(1+Hypothèses!$B$6)</f>
        <v/>
      </c>
      <c r="R6">
        <f>Hypothèses!$B$3*(1+Hypothèses!$B$4)^INT((A6-1)/3)</f>
        <v/>
      </c>
      <c r="S6">
        <f>IF($A6&lt;7,2,IF($A6&lt;13,3,IF($A6&lt;19,4,5)))</f>
        <v/>
      </c>
      <c r="T6">
        <f>S6*Hypothèses!$B$17</f>
        <v/>
      </c>
      <c r="U6">
        <f>Q6*Hypothèses!$B$5</f>
        <v/>
      </c>
      <c r="V6">
        <f>Q6-R6-T6-U6</f>
        <v/>
      </c>
      <c r="W6">
        <f>W5+V6</f>
        <v/>
      </c>
    </row>
    <row r="7">
      <c r="A7" t="n">
        <v>4</v>
      </c>
      <c r="B7">
        <f>INT((A7-1)/12)+1</f>
        <v/>
      </c>
      <c r="C7">
        <f>ROUND(IF(MOD($A7,12)=0,G7,(IF(7=4,0,C6))*(1-$K7)+IF((IF(7=4,0,C6))*(1-$K7)&lt;G7,(G7-(IF(7=4,0,C6))*(1-$K7))*Hypothèses!$B$10,0)),1)</f>
        <v/>
      </c>
      <c r="D7">
        <f>ROUND(IF(MOD($A7,12)=0,H7,(IF(7=4,0,D6))*(1-$K7)+IF((IF(7=4,0,D6))*(1-$K7)&lt;H7,(H7-(IF(7=4,0,D6))*(1-$K7))*Hypothèses!$B$10,0)),1)</f>
        <v/>
      </c>
      <c r="E7">
        <f>ROUND(IF(MOD($A7,12)=0,I7,(IF(7=4,0,E6))*(1-$K7)+IF((IF(7=4,0,E6))*(1-$K7)&lt;I7,(I7-(IF(7=4,0,E6))*(1-$K7))*Hypothèses!$B$10,0)),1)</f>
        <v/>
      </c>
      <c r="F7">
        <f>ROUND(IF(MOD($A7,12)=0,J7,(IF(7=4,0,F6))*(1-$K7)+IF((IF(7=4,0,F6))*(1-$K7)&lt;J7,(J7-(IF(7=4,0,F6))*(1-$K7))*Hypothèses!$B$10,0)),1)</f>
        <v/>
      </c>
      <c r="G7">
        <f>(IF(B7=1,0,IF(B7=2,Hypothèses!$B$26,IF(B7=3,Hypothèses!$C$26,Hypothèses!$D$26)))+(IF(B7=1,Hypothèses!$B$26,IF(B7=2,Hypothèses!$C$26,IF(B7=3,Hypothèses!$D$26,Hypothèses!$D$26)))-(IF(B7=1,0,IF(B7=2,Hypothèses!$B$26,IF(B7=3,Hypothèses!$C$26,Hypothèses!$D$26)))))*((A7)-INT((A7-1)/12)*12)/12)*$B$1</f>
        <v/>
      </c>
      <c r="H7">
        <f>(IF(B7=1,0,IF(B7=2,Hypothèses!$B$27,IF(B7=3,Hypothèses!$C$27,Hypothèses!$D$27)))+(IF(B7=1,Hypothèses!$B$27,IF(B7=2,Hypothèses!$C$27,IF(B7=3,Hypothèses!$D$27,Hypothèses!$D$27)))-(IF(B7=1,0,IF(B7=2,Hypothèses!$B$27,IF(B7=3,Hypothèses!$C$27,Hypothèses!$D$27)))))*((A7)-INT((A7-1)/12)*12)/12)*$B$1</f>
        <v/>
      </c>
      <c r="I7">
        <f>(IF(B7=1,0,IF(B7=2,Hypothèses!$B$28,IF(B7=3,Hypothèses!$C$28,Hypothèses!$D$28)))+(IF(B7=1,Hypothèses!$B$28,IF(B7=2,Hypothèses!$C$28,IF(B7=3,Hypothèses!$D$28,Hypothèses!$D$28)))-(IF(B7=1,0,IF(B7=2,Hypothèses!$B$28,IF(B7=3,Hypothèses!$C$28,Hypothèses!$D$28)))))*((A7)-INT((A7-1)/12)*12)/12)*$B$1</f>
        <v/>
      </c>
      <c r="J7">
        <f>(IF(B7=1,0,IF(B7=2,Hypothèses!$B$29,IF(B7=3,Hypothèses!$C$29,Hypothèses!$D$29)))+(IF(B7=1,Hypothèses!$B$29,IF(B7=2,Hypothèses!$C$29,IF(B7=3,Hypothèses!$D$29,Hypothèses!$D$29)))-(IF(B7=1,0,IF(B7=2,Hypothèses!$B$29,IF(B7=3,Hypothèses!$C$29,Hypothèses!$D$29)))))*((A7)-INT((A7-1)/12)*12)/12)*$B$1</f>
        <v/>
      </c>
      <c r="K7">
        <f>IF(A7&lt;Hypothèses!$B$7,0,Hypothèses!$B$8*(1-Hypothèses!$B$9)^(A7-Hypothèses!$B$7))</f>
        <v/>
      </c>
      <c r="L7">
        <f>C7+D7+E7+F7</f>
        <v/>
      </c>
      <c r="M7">
        <f>(C7*Hypothèses!$B$11+D7*Hypothèses!$B$12+E7*Hypothèses!$B$13+F7*Hypothèses!$B$14)*(IF(B7=1,Hypothèses!$B$20,IF(B7=2,Hypothèses!$B$21,Hypothèses!$B$22))+(1-(IF(B7=1,Hypothèses!$B$20,IF(B7=2,Hypothèses!$B$21,Hypothèses!$B$22))))*11/12)</f>
        <v/>
      </c>
      <c r="N7">
        <f>L7*IF(B7=1,Hypothèses!$C$20,IF(B7=2,Hypothèses!$C$21,Hypothèses!$C$22))*IF(B7=1,Hypothèses!$D$20,IF(B7=2,Hypothèses!$D$21,Hypothèses!$D$22))</f>
        <v/>
      </c>
      <c r="O7">
        <f>IF(A7=18,IF($B$2&gt;=1,Hypothèses!$B$33,0),IF(AND(OR(A7=30,A7=34),$D$2&gt;=1),Hypothèses!$B$34*MIN(1,$D$2/3),0))</f>
        <v/>
      </c>
      <c r="P7">
        <f>M7+N7+O7</f>
        <v/>
      </c>
      <c r="Q7">
        <f>P7/(1+Hypothèses!$B$6)</f>
        <v/>
      </c>
      <c r="R7">
        <f>Hypothèses!$B$3*(1+Hypothèses!$B$4)^INT((A7-1)/3)</f>
        <v/>
      </c>
      <c r="S7">
        <f>IF($A7&lt;7,2,IF($A7&lt;13,3,IF($A7&lt;19,4,5)))</f>
        <v/>
      </c>
      <c r="T7">
        <f>S7*Hypothèses!$B$17</f>
        <v/>
      </c>
      <c r="U7">
        <f>Q7*Hypothèses!$B$5</f>
        <v/>
      </c>
      <c r="V7">
        <f>Q7-R7-T7-U7</f>
        <v/>
      </c>
      <c r="W7">
        <f>W6+V7</f>
        <v/>
      </c>
    </row>
    <row r="8">
      <c r="A8" t="n">
        <v>5</v>
      </c>
      <c r="B8">
        <f>INT((A8-1)/12)+1</f>
        <v/>
      </c>
      <c r="C8">
        <f>ROUND(IF(MOD($A8,12)=0,G8,(IF(8=4,0,C7))*(1-$K8)+IF((IF(8=4,0,C7))*(1-$K8)&lt;G8,(G8-(IF(8=4,0,C7))*(1-$K8))*Hypothèses!$B$10,0)),1)</f>
        <v/>
      </c>
      <c r="D8">
        <f>ROUND(IF(MOD($A8,12)=0,H8,(IF(8=4,0,D7))*(1-$K8)+IF((IF(8=4,0,D7))*(1-$K8)&lt;H8,(H8-(IF(8=4,0,D7))*(1-$K8))*Hypothèses!$B$10,0)),1)</f>
        <v/>
      </c>
      <c r="E8">
        <f>ROUND(IF(MOD($A8,12)=0,I8,(IF(8=4,0,E7))*(1-$K8)+IF((IF(8=4,0,E7))*(1-$K8)&lt;I8,(I8-(IF(8=4,0,E7))*(1-$K8))*Hypothèses!$B$10,0)),1)</f>
        <v/>
      </c>
      <c r="F8">
        <f>ROUND(IF(MOD($A8,12)=0,J8,(IF(8=4,0,F7))*(1-$K8)+IF((IF(8=4,0,F7))*(1-$K8)&lt;J8,(J8-(IF(8=4,0,F7))*(1-$K8))*Hypothèses!$B$10,0)),1)</f>
        <v/>
      </c>
      <c r="G8">
        <f>(IF(B8=1,0,IF(B8=2,Hypothèses!$B$26,IF(B8=3,Hypothèses!$C$26,Hypothèses!$D$26)))+(IF(B8=1,Hypothèses!$B$26,IF(B8=2,Hypothèses!$C$26,IF(B8=3,Hypothèses!$D$26,Hypothèses!$D$26)))-(IF(B8=1,0,IF(B8=2,Hypothèses!$B$26,IF(B8=3,Hypothèses!$C$26,Hypothèses!$D$26)))))*((A8)-INT((A8-1)/12)*12)/12)*$B$1</f>
        <v/>
      </c>
      <c r="H8">
        <f>(IF(B8=1,0,IF(B8=2,Hypothèses!$B$27,IF(B8=3,Hypothèses!$C$27,Hypothèses!$D$27)))+(IF(B8=1,Hypothèses!$B$27,IF(B8=2,Hypothèses!$C$27,IF(B8=3,Hypothèses!$D$27,Hypothèses!$D$27)))-(IF(B8=1,0,IF(B8=2,Hypothèses!$B$27,IF(B8=3,Hypothèses!$C$27,Hypothèses!$D$27)))))*((A8)-INT((A8-1)/12)*12)/12)*$B$1</f>
        <v/>
      </c>
      <c r="I8">
        <f>(IF(B8=1,0,IF(B8=2,Hypothèses!$B$28,IF(B8=3,Hypothèses!$C$28,Hypothèses!$D$28)))+(IF(B8=1,Hypothèses!$B$28,IF(B8=2,Hypothèses!$C$28,IF(B8=3,Hypothèses!$D$28,Hypothèses!$D$28)))-(IF(B8=1,0,IF(B8=2,Hypothèses!$B$28,IF(B8=3,Hypothèses!$C$28,Hypothèses!$D$28)))))*((A8)-INT((A8-1)/12)*12)/12)*$B$1</f>
        <v/>
      </c>
      <c r="J8">
        <f>(IF(B8=1,0,IF(B8=2,Hypothèses!$B$29,IF(B8=3,Hypothèses!$C$29,Hypothèses!$D$29)))+(IF(B8=1,Hypothèses!$B$29,IF(B8=2,Hypothèses!$C$29,IF(B8=3,Hypothèses!$D$29,Hypothèses!$D$29)))-(IF(B8=1,0,IF(B8=2,Hypothèses!$B$29,IF(B8=3,Hypothèses!$C$29,Hypothèses!$D$29)))))*((A8)-INT((A8-1)/12)*12)/12)*$B$1</f>
        <v/>
      </c>
      <c r="K8">
        <f>IF(A8&lt;Hypothèses!$B$7,0,Hypothèses!$B$8*(1-Hypothèses!$B$9)^(A8-Hypothèses!$B$7))</f>
        <v/>
      </c>
      <c r="L8">
        <f>C8+D8+E8+F8</f>
        <v/>
      </c>
      <c r="M8">
        <f>(C8*Hypothèses!$B$11+D8*Hypothèses!$B$12+E8*Hypothèses!$B$13+F8*Hypothèses!$B$14)*(IF(B8=1,Hypothèses!$B$20,IF(B8=2,Hypothèses!$B$21,Hypothèses!$B$22))+(1-(IF(B8=1,Hypothèses!$B$20,IF(B8=2,Hypothèses!$B$21,Hypothèses!$B$22))))*11/12)</f>
        <v/>
      </c>
      <c r="N8">
        <f>L8*IF(B8=1,Hypothèses!$C$20,IF(B8=2,Hypothèses!$C$21,Hypothèses!$C$22))*IF(B8=1,Hypothèses!$D$20,IF(B8=2,Hypothèses!$D$21,Hypothèses!$D$22))</f>
        <v/>
      </c>
      <c r="O8">
        <f>IF(A8=18,IF($B$2&gt;=1,Hypothèses!$B$33,0),IF(AND(OR(A8=30,A8=34),$D$2&gt;=1),Hypothèses!$B$34*MIN(1,$D$2/3),0))</f>
        <v/>
      </c>
      <c r="P8">
        <f>M8+N8+O8</f>
        <v/>
      </c>
      <c r="Q8">
        <f>P8/(1+Hypothèses!$B$6)</f>
        <v/>
      </c>
      <c r="R8">
        <f>Hypothèses!$B$3*(1+Hypothèses!$B$4)^INT((A8-1)/3)</f>
        <v/>
      </c>
      <c r="S8">
        <f>IF($A8&lt;7,2,IF($A8&lt;13,3,IF($A8&lt;19,4,5)))</f>
        <v/>
      </c>
      <c r="T8">
        <f>S8*Hypothèses!$B$17</f>
        <v/>
      </c>
      <c r="U8">
        <f>Q8*Hypothèses!$B$5</f>
        <v/>
      </c>
      <c r="V8">
        <f>Q8-R8-T8-U8</f>
        <v/>
      </c>
      <c r="W8">
        <f>W7+V8</f>
        <v/>
      </c>
    </row>
    <row r="9">
      <c r="A9" t="n">
        <v>6</v>
      </c>
      <c r="B9">
        <f>INT((A9-1)/12)+1</f>
        <v/>
      </c>
      <c r="C9">
        <f>ROUND(IF(MOD($A9,12)=0,G9,(IF(9=4,0,C8))*(1-$K9)+IF((IF(9=4,0,C8))*(1-$K9)&lt;G9,(G9-(IF(9=4,0,C8))*(1-$K9))*Hypothèses!$B$10,0)),1)</f>
        <v/>
      </c>
      <c r="D9">
        <f>ROUND(IF(MOD($A9,12)=0,H9,(IF(9=4,0,D8))*(1-$K9)+IF((IF(9=4,0,D8))*(1-$K9)&lt;H9,(H9-(IF(9=4,0,D8))*(1-$K9))*Hypothèses!$B$10,0)),1)</f>
        <v/>
      </c>
      <c r="E9">
        <f>ROUND(IF(MOD($A9,12)=0,I9,(IF(9=4,0,E8))*(1-$K9)+IF((IF(9=4,0,E8))*(1-$K9)&lt;I9,(I9-(IF(9=4,0,E8))*(1-$K9))*Hypothèses!$B$10,0)),1)</f>
        <v/>
      </c>
      <c r="F9">
        <f>ROUND(IF(MOD($A9,12)=0,J9,(IF(9=4,0,F8))*(1-$K9)+IF((IF(9=4,0,F8))*(1-$K9)&lt;J9,(J9-(IF(9=4,0,F8))*(1-$K9))*Hypothèses!$B$10,0)),1)</f>
        <v/>
      </c>
      <c r="G9">
        <f>(IF(B9=1,0,IF(B9=2,Hypothèses!$B$26,IF(B9=3,Hypothèses!$C$26,Hypothèses!$D$26)))+(IF(B9=1,Hypothèses!$B$26,IF(B9=2,Hypothèses!$C$26,IF(B9=3,Hypothèses!$D$26,Hypothèses!$D$26)))-(IF(B9=1,0,IF(B9=2,Hypothèses!$B$26,IF(B9=3,Hypothèses!$C$26,Hypothèses!$D$26)))))*((A9)-INT((A9-1)/12)*12)/12)*$B$1</f>
        <v/>
      </c>
      <c r="H9">
        <f>(IF(B9=1,0,IF(B9=2,Hypothèses!$B$27,IF(B9=3,Hypothèses!$C$27,Hypothèses!$D$27)))+(IF(B9=1,Hypothèses!$B$27,IF(B9=2,Hypothèses!$C$27,IF(B9=3,Hypothèses!$D$27,Hypothèses!$D$27)))-(IF(B9=1,0,IF(B9=2,Hypothèses!$B$27,IF(B9=3,Hypothèses!$C$27,Hypothèses!$D$27)))))*((A9)-INT((A9-1)/12)*12)/12)*$B$1</f>
        <v/>
      </c>
      <c r="I9">
        <f>(IF(B9=1,0,IF(B9=2,Hypothèses!$B$28,IF(B9=3,Hypothèses!$C$28,Hypothèses!$D$28)))+(IF(B9=1,Hypothèses!$B$28,IF(B9=2,Hypothèses!$C$28,IF(B9=3,Hypothèses!$D$28,Hypothèses!$D$28)))-(IF(B9=1,0,IF(B9=2,Hypothèses!$B$28,IF(B9=3,Hypothèses!$C$28,Hypothèses!$D$28)))))*((A9)-INT((A9-1)/12)*12)/12)*$B$1</f>
        <v/>
      </c>
      <c r="J9">
        <f>(IF(B9=1,0,IF(B9=2,Hypothèses!$B$29,IF(B9=3,Hypothèses!$C$29,Hypothèses!$D$29)))+(IF(B9=1,Hypothèses!$B$29,IF(B9=2,Hypothèses!$C$29,IF(B9=3,Hypothèses!$D$29,Hypothèses!$D$29)))-(IF(B9=1,0,IF(B9=2,Hypothèses!$B$29,IF(B9=3,Hypothèses!$C$29,Hypothèses!$D$29)))))*((A9)-INT((A9-1)/12)*12)/12)*$B$1</f>
        <v/>
      </c>
      <c r="K9">
        <f>IF(A9&lt;Hypothèses!$B$7,0,Hypothèses!$B$8*(1-Hypothèses!$B$9)^(A9-Hypothèses!$B$7))</f>
        <v/>
      </c>
      <c r="L9">
        <f>C9+D9+E9+F9</f>
        <v/>
      </c>
      <c r="M9">
        <f>(C9*Hypothèses!$B$11+D9*Hypothèses!$B$12+E9*Hypothèses!$B$13+F9*Hypothèses!$B$14)*(IF(B9=1,Hypothèses!$B$20,IF(B9=2,Hypothèses!$B$21,Hypothèses!$B$22))+(1-(IF(B9=1,Hypothèses!$B$20,IF(B9=2,Hypothèses!$B$21,Hypothèses!$B$22))))*11/12)</f>
        <v/>
      </c>
      <c r="N9">
        <f>L9*IF(B9=1,Hypothèses!$C$20,IF(B9=2,Hypothèses!$C$21,Hypothèses!$C$22))*IF(B9=1,Hypothèses!$D$20,IF(B9=2,Hypothèses!$D$21,Hypothèses!$D$22))</f>
        <v/>
      </c>
      <c r="O9">
        <f>IF(A9=18,IF($B$2&gt;=1,Hypothèses!$B$33,0),IF(AND(OR(A9=30,A9=34),$D$2&gt;=1),Hypothèses!$B$34*MIN(1,$D$2/3),0))</f>
        <v/>
      </c>
      <c r="P9">
        <f>M9+N9+O9</f>
        <v/>
      </c>
      <c r="Q9">
        <f>P9/(1+Hypothèses!$B$6)</f>
        <v/>
      </c>
      <c r="R9">
        <f>Hypothèses!$B$3*(1+Hypothèses!$B$4)^INT((A9-1)/3)</f>
        <v/>
      </c>
      <c r="S9">
        <f>IF($A9&lt;7,2,IF($A9&lt;13,3,IF($A9&lt;19,4,5)))</f>
        <v/>
      </c>
      <c r="T9">
        <f>S9*Hypothèses!$B$17</f>
        <v/>
      </c>
      <c r="U9">
        <f>Q9*Hypothèses!$B$5</f>
        <v/>
      </c>
      <c r="V9">
        <f>Q9-R9-T9-U9</f>
        <v/>
      </c>
      <c r="W9">
        <f>W8+V9</f>
        <v/>
      </c>
    </row>
    <row r="10">
      <c r="A10" t="n">
        <v>7</v>
      </c>
      <c r="B10">
        <f>INT((A10-1)/12)+1</f>
        <v/>
      </c>
      <c r="C10">
        <f>ROUND(IF(MOD($A10,12)=0,G10,(IF(10=4,0,C9))*(1-$K10)+IF((IF(10=4,0,C9))*(1-$K10)&lt;G10,(G10-(IF(10=4,0,C9))*(1-$K10))*Hypothèses!$B$10,0)),1)</f>
        <v/>
      </c>
      <c r="D10">
        <f>ROUND(IF(MOD($A10,12)=0,H10,(IF(10=4,0,D9))*(1-$K10)+IF((IF(10=4,0,D9))*(1-$K10)&lt;H10,(H10-(IF(10=4,0,D9))*(1-$K10))*Hypothèses!$B$10,0)),1)</f>
        <v/>
      </c>
      <c r="E10">
        <f>ROUND(IF(MOD($A10,12)=0,I10,(IF(10=4,0,E9))*(1-$K10)+IF((IF(10=4,0,E9))*(1-$K10)&lt;I10,(I10-(IF(10=4,0,E9))*(1-$K10))*Hypothèses!$B$10,0)),1)</f>
        <v/>
      </c>
      <c r="F10">
        <f>ROUND(IF(MOD($A10,12)=0,J10,(IF(10=4,0,F9))*(1-$K10)+IF((IF(10=4,0,F9))*(1-$K10)&lt;J10,(J10-(IF(10=4,0,F9))*(1-$K10))*Hypothèses!$B$10,0)),1)</f>
        <v/>
      </c>
      <c r="G10">
        <f>(IF(B10=1,0,IF(B10=2,Hypothèses!$B$26,IF(B10=3,Hypothèses!$C$26,Hypothèses!$D$26)))+(IF(B10=1,Hypothèses!$B$26,IF(B10=2,Hypothèses!$C$26,IF(B10=3,Hypothèses!$D$26,Hypothèses!$D$26)))-(IF(B10=1,0,IF(B10=2,Hypothèses!$B$26,IF(B10=3,Hypothèses!$C$26,Hypothèses!$D$26)))))*((A10)-INT((A10-1)/12)*12)/12)*$B$1</f>
        <v/>
      </c>
      <c r="H10">
        <f>(IF(B10=1,0,IF(B10=2,Hypothèses!$B$27,IF(B10=3,Hypothèses!$C$27,Hypothèses!$D$27)))+(IF(B10=1,Hypothèses!$B$27,IF(B10=2,Hypothèses!$C$27,IF(B10=3,Hypothèses!$D$27,Hypothèses!$D$27)))-(IF(B10=1,0,IF(B10=2,Hypothèses!$B$27,IF(B10=3,Hypothèses!$C$27,Hypothèses!$D$27)))))*((A10)-INT((A10-1)/12)*12)/12)*$B$1</f>
        <v/>
      </c>
      <c r="I10">
        <f>(IF(B10=1,0,IF(B10=2,Hypothèses!$B$28,IF(B10=3,Hypothèses!$C$28,Hypothèses!$D$28)))+(IF(B10=1,Hypothèses!$B$28,IF(B10=2,Hypothèses!$C$28,IF(B10=3,Hypothèses!$D$28,Hypothèses!$D$28)))-(IF(B10=1,0,IF(B10=2,Hypothèses!$B$28,IF(B10=3,Hypothèses!$C$28,Hypothèses!$D$28)))))*((A10)-INT((A10-1)/12)*12)/12)*$B$1</f>
        <v/>
      </c>
      <c r="J10">
        <f>(IF(B10=1,0,IF(B10=2,Hypothèses!$B$29,IF(B10=3,Hypothèses!$C$29,Hypothèses!$D$29)))+(IF(B10=1,Hypothèses!$B$29,IF(B10=2,Hypothèses!$C$29,IF(B10=3,Hypothèses!$D$29,Hypothèses!$D$29)))-(IF(B10=1,0,IF(B10=2,Hypothèses!$B$29,IF(B10=3,Hypothèses!$C$29,Hypothèses!$D$29)))))*((A10)-INT((A10-1)/12)*12)/12)*$B$1</f>
        <v/>
      </c>
      <c r="K10">
        <f>IF(A10&lt;Hypothèses!$B$7,0,Hypothèses!$B$8*(1-Hypothèses!$B$9)^(A10-Hypothèses!$B$7))</f>
        <v/>
      </c>
      <c r="L10">
        <f>C10+D10+E10+F10</f>
        <v/>
      </c>
      <c r="M10">
        <f>(C10*Hypothèses!$B$11+D10*Hypothèses!$B$12+E10*Hypothèses!$B$13+F10*Hypothèses!$B$14)*(IF(B10=1,Hypothèses!$B$20,IF(B10=2,Hypothèses!$B$21,Hypothèses!$B$22))+(1-(IF(B10=1,Hypothèses!$B$20,IF(B10=2,Hypothèses!$B$21,Hypothèses!$B$22))))*11/12)</f>
        <v/>
      </c>
      <c r="N10">
        <f>L10*IF(B10=1,Hypothèses!$C$20,IF(B10=2,Hypothèses!$C$21,Hypothèses!$C$22))*IF(B10=1,Hypothèses!$D$20,IF(B10=2,Hypothèses!$D$21,Hypothèses!$D$22))</f>
        <v/>
      </c>
      <c r="O10">
        <f>IF(A10=18,IF($B$2&gt;=1,Hypothèses!$B$33,0),IF(AND(OR(A10=30,A10=34),$D$2&gt;=1),Hypothèses!$B$34*MIN(1,$D$2/3),0))</f>
        <v/>
      </c>
      <c r="P10">
        <f>M10+N10+O10</f>
        <v/>
      </c>
      <c r="Q10">
        <f>P10/(1+Hypothèses!$B$6)</f>
        <v/>
      </c>
      <c r="R10">
        <f>Hypothèses!$B$3*(1+Hypothèses!$B$4)^INT((A10-1)/3)</f>
        <v/>
      </c>
      <c r="S10">
        <f>IF($A10&lt;7,2,IF($A10&lt;13,3,IF($A10&lt;19,4,5)))</f>
        <v/>
      </c>
      <c r="T10">
        <f>S10*Hypothèses!$B$17</f>
        <v/>
      </c>
      <c r="U10">
        <f>Q10*Hypothèses!$B$5</f>
        <v/>
      </c>
      <c r="V10">
        <f>Q10-R10-T10-U10</f>
        <v/>
      </c>
      <c r="W10">
        <f>W9+V10</f>
        <v/>
      </c>
    </row>
    <row r="11">
      <c r="A11" t="n">
        <v>8</v>
      </c>
      <c r="B11">
        <f>INT((A11-1)/12)+1</f>
        <v/>
      </c>
      <c r="C11">
        <f>ROUND(IF(MOD($A11,12)=0,G11,(IF(11=4,0,C10))*(1-$K11)+IF((IF(11=4,0,C10))*(1-$K11)&lt;G11,(G11-(IF(11=4,0,C10))*(1-$K11))*Hypothèses!$B$10,0)),1)</f>
        <v/>
      </c>
      <c r="D11">
        <f>ROUND(IF(MOD($A11,12)=0,H11,(IF(11=4,0,D10))*(1-$K11)+IF((IF(11=4,0,D10))*(1-$K11)&lt;H11,(H11-(IF(11=4,0,D10))*(1-$K11))*Hypothèses!$B$10,0)),1)</f>
        <v/>
      </c>
      <c r="E11">
        <f>ROUND(IF(MOD($A11,12)=0,I11,(IF(11=4,0,E10))*(1-$K11)+IF((IF(11=4,0,E10))*(1-$K11)&lt;I11,(I11-(IF(11=4,0,E10))*(1-$K11))*Hypothèses!$B$10,0)),1)</f>
        <v/>
      </c>
      <c r="F11">
        <f>ROUND(IF(MOD($A11,12)=0,J11,(IF(11=4,0,F10))*(1-$K11)+IF((IF(11=4,0,F10))*(1-$K11)&lt;J11,(J11-(IF(11=4,0,F10))*(1-$K11))*Hypothèses!$B$10,0)),1)</f>
        <v/>
      </c>
      <c r="G11">
        <f>(IF(B11=1,0,IF(B11=2,Hypothèses!$B$26,IF(B11=3,Hypothèses!$C$26,Hypothèses!$D$26)))+(IF(B11=1,Hypothèses!$B$26,IF(B11=2,Hypothèses!$C$26,IF(B11=3,Hypothèses!$D$26,Hypothèses!$D$26)))-(IF(B11=1,0,IF(B11=2,Hypothèses!$B$26,IF(B11=3,Hypothèses!$C$26,Hypothèses!$D$26)))))*((A11)-INT((A11-1)/12)*12)/12)*$B$1</f>
        <v/>
      </c>
      <c r="H11">
        <f>(IF(B11=1,0,IF(B11=2,Hypothèses!$B$27,IF(B11=3,Hypothèses!$C$27,Hypothèses!$D$27)))+(IF(B11=1,Hypothèses!$B$27,IF(B11=2,Hypothèses!$C$27,IF(B11=3,Hypothèses!$D$27,Hypothèses!$D$27)))-(IF(B11=1,0,IF(B11=2,Hypothèses!$B$27,IF(B11=3,Hypothèses!$C$27,Hypothèses!$D$27)))))*((A11)-INT((A11-1)/12)*12)/12)*$B$1</f>
        <v/>
      </c>
      <c r="I11">
        <f>(IF(B11=1,0,IF(B11=2,Hypothèses!$B$28,IF(B11=3,Hypothèses!$C$28,Hypothèses!$D$28)))+(IF(B11=1,Hypothèses!$B$28,IF(B11=2,Hypothèses!$C$28,IF(B11=3,Hypothèses!$D$28,Hypothèses!$D$28)))-(IF(B11=1,0,IF(B11=2,Hypothèses!$B$28,IF(B11=3,Hypothèses!$C$28,Hypothèses!$D$28)))))*((A11)-INT((A11-1)/12)*12)/12)*$B$1</f>
        <v/>
      </c>
      <c r="J11">
        <f>(IF(B11=1,0,IF(B11=2,Hypothèses!$B$29,IF(B11=3,Hypothèses!$C$29,Hypothèses!$D$29)))+(IF(B11=1,Hypothèses!$B$29,IF(B11=2,Hypothèses!$C$29,IF(B11=3,Hypothèses!$D$29,Hypothèses!$D$29)))-(IF(B11=1,0,IF(B11=2,Hypothèses!$B$29,IF(B11=3,Hypothèses!$C$29,Hypothèses!$D$29)))))*((A11)-INT((A11-1)/12)*12)/12)*$B$1</f>
        <v/>
      </c>
      <c r="K11">
        <f>IF(A11&lt;Hypothèses!$B$7,0,Hypothèses!$B$8*(1-Hypothèses!$B$9)^(A11-Hypothèses!$B$7))</f>
        <v/>
      </c>
      <c r="L11">
        <f>C11+D11+E11+F11</f>
        <v/>
      </c>
      <c r="M11">
        <f>(C11*Hypothèses!$B$11+D11*Hypothèses!$B$12+E11*Hypothèses!$B$13+F11*Hypothèses!$B$14)*(IF(B11=1,Hypothèses!$B$20,IF(B11=2,Hypothèses!$B$21,Hypothèses!$B$22))+(1-(IF(B11=1,Hypothèses!$B$20,IF(B11=2,Hypothèses!$B$21,Hypothèses!$B$22))))*11/12)</f>
        <v/>
      </c>
      <c r="N11">
        <f>L11*IF(B11=1,Hypothèses!$C$20,IF(B11=2,Hypothèses!$C$21,Hypothèses!$C$22))*IF(B11=1,Hypothèses!$D$20,IF(B11=2,Hypothèses!$D$21,Hypothèses!$D$22))</f>
        <v/>
      </c>
      <c r="O11">
        <f>IF(A11=18,IF($B$2&gt;=1,Hypothèses!$B$33,0),IF(AND(OR(A11=30,A11=34),$D$2&gt;=1),Hypothèses!$B$34*MIN(1,$D$2/3),0))</f>
        <v/>
      </c>
      <c r="P11">
        <f>M11+N11+O11</f>
        <v/>
      </c>
      <c r="Q11">
        <f>P11/(1+Hypothèses!$B$6)</f>
        <v/>
      </c>
      <c r="R11">
        <f>Hypothèses!$B$3*(1+Hypothèses!$B$4)^INT((A11-1)/3)</f>
        <v/>
      </c>
      <c r="S11">
        <f>IF($A11&lt;7,2,IF($A11&lt;13,3,IF($A11&lt;19,4,5)))</f>
        <v/>
      </c>
      <c r="T11">
        <f>S11*Hypothèses!$B$17</f>
        <v/>
      </c>
      <c r="U11">
        <f>Q11*Hypothèses!$B$5</f>
        <v/>
      </c>
      <c r="V11">
        <f>Q11-R11-T11-U11</f>
        <v/>
      </c>
      <c r="W11">
        <f>W10+V11</f>
        <v/>
      </c>
    </row>
    <row r="12">
      <c r="A12" t="n">
        <v>9</v>
      </c>
      <c r="B12">
        <f>INT((A12-1)/12)+1</f>
        <v/>
      </c>
      <c r="C12">
        <f>ROUND(IF(MOD($A12,12)=0,G12,(IF(12=4,0,C11))*(1-$K12)+IF((IF(12=4,0,C11))*(1-$K12)&lt;G12,(G12-(IF(12=4,0,C11))*(1-$K12))*Hypothèses!$B$10,0)),1)</f>
        <v/>
      </c>
      <c r="D12">
        <f>ROUND(IF(MOD($A12,12)=0,H12,(IF(12=4,0,D11))*(1-$K12)+IF((IF(12=4,0,D11))*(1-$K12)&lt;H12,(H12-(IF(12=4,0,D11))*(1-$K12))*Hypothèses!$B$10,0)),1)</f>
        <v/>
      </c>
      <c r="E12">
        <f>ROUND(IF(MOD($A12,12)=0,I12,(IF(12=4,0,E11))*(1-$K12)+IF((IF(12=4,0,E11))*(1-$K12)&lt;I12,(I12-(IF(12=4,0,E11))*(1-$K12))*Hypothèses!$B$10,0)),1)</f>
        <v/>
      </c>
      <c r="F12">
        <f>ROUND(IF(MOD($A12,12)=0,J12,(IF(12=4,0,F11))*(1-$K12)+IF((IF(12=4,0,F11))*(1-$K12)&lt;J12,(J12-(IF(12=4,0,F11))*(1-$K12))*Hypothèses!$B$10,0)),1)</f>
        <v/>
      </c>
      <c r="G12">
        <f>(IF(B12=1,0,IF(B12=2,Hypothèses!$B$26,IF(B12=3,Hypothèses!$C$26,Hypothèses!$D$26)))+(IF(B12=1,Hypothèses!$B$26,IF(B12=2,Hypothèses!$C$26,IF(B12=3,Hypothèses!$D$26,Hypothèses!$D$26)))-(IF(B12=1,0,IF(B12=2,Hypothèses!$B$26,IF(B12=3,Hypothèses!$C$26,Hypothèses!$D$26)))))*((A12)-INT((A12-1)/12)*12)/12)*$B$1</f>
        <v/>
      </c>
      <c r="H12">
        <f>(IF(B12=1,0,IF(B12=2,Hypothèses!$B$27,IF(B12=3,Hypothèses!$C$27,Hypothèses!$D$27)))+(IF(B12=1,Hypothèses!$B$27,IF(B12=2,Hypothèses!$C$27,IF(B12=3,Hypothèses!$D$27,Hypothèses!$D$27)))-(IF(B12=1,0,IF(B12=2,Hypothèses!$B$27,IF(B12=3,Hypothèses!$C$27,Hypothèses!$D$27)))))*((A12)-INT((A12-1)/12)*12)/12)*$B$1</f>
        <v/>
      </c>
      <c r="I12">
        <f>(IF(B12=1,0,IF(B12=2,Hypothèses!$B$28,IF(B12=3,Hypothèses!$C$28,Hypothèses!$D$28)))+(IF(B12=1,Hypothèses!$B$28,IF(B12=2,Hypothèses!$C$28,IF(B12=3,Hypothèses!$D$28,Hypothèses!$D$28)))-(IF(B12=1,0,IF(B12=2,Hypothèses!$B$28,IF(B12=3,Hypothèses!$C$28,Hypothèses!$D$28)))))*((A12)-INT((A12-1)/12)*12)/12)*$B$1</f>
        <v/>
      </c>
      <c r="J12">
        <f>(IF(B12=1,0,IF(B12=2,Hypothèses!$B$29,IF(B12=3,Hypothèses!$C$29,Hypothèses!$D$29)))+(IF(B12=1,Hypothèses!$B$29,IF(B12=2,Hypothèses!$C$29,IF(B12=3,Hypothèses!$D$29,Hypothèses!$D$29)))-(IF(B12=1,0,IF(B12=2,Hypothèses!$B$29,IF(B12=3,Hypothèses!$C$29,Hypothèses!$D$29)))))*((A12)-INT((A12-1)/12)*12)/12)*$B$1</f>
        <v/>
      </c>
      <c r="K12">
        <f>IF(A12&lt;Hypothèses!$B$7,0,Hypothèses!$B$8*(1-Hypothèses!$B$9)^(A12-Hypothèses!$B$7))</f>
        <v/>
      </c>
      <c r="L12">
        <f>C12+D12+E12+F12</f>
        <v/>
      </c>
      <c r="M12">
        <f>(C12*Hypothèses!$B$11+D12*Hypothèses!$B$12+E12*Hypothèses!$B$13+F12*Hypothèses!$B$14)*(IF(B12=1,Hypothèses!$B$20,IF(B12=2,Hypothèses!$B$21,Hypothèses!$B$22))+(1-(IF(B12=1,Hypothèses!$B$20,IF(B12=2,Hypothèses!$B$21,Hypothèses!$B$22))))*11/12)</f>
        <v/>
      </c>
      <c r="N12">
        <f>L12*IF(B12=1,Hypothèses!$C$20,IF(B12=2,Hypothèses!$C$21,Hypothèses!$C$22))*IF(B12=1,Hypothèses!$D$20,IF(B12=2,Hypothèses!$D$21,Hypothèses!$D$22))</f>
        <v/>
      </c>
      <c r="O12">
        <f>IF(A12=18,IF($B$2&gt;=1,Hypothèses!$B$33,0),IF(AND(OR(A12=30,A12=34),$D$2&gt;=1),Hypothèses!$B$34*MIN(1,$D$2/3),0))</f>
        <v/>
      </c>
      <c r="P12">
        <f>M12+N12+O12</f>
        <v/>
      </c>
      <c r="Q12">
        <f>P12/(1+Hypothèses!$B$6)</f>
        <v/>
      </c>
      <c r="R12">
        <f>Hypothèses!$B$3*(1+Hypothèses!$B$4)^INT((A12-1)/3)</f>
        <v/>
      </c>
      <c r="S12">
        <f>IF($A12&lt;7,2,IF($A12&lt;13,3,IF($A12&lt;19,4,5)))</f>
        <v/>
      </c>
      <c r="T12">
        <f>S12*Hypothèses!$B$17</f>
        <v/>
      </c>
      <c r="U12">
        <f>Q12*Hypothèses!$B$5</f>
        <v/>
      </c>
      <c r="V12">
        <f>Q12-R12-T12-U12</f>
        <v/>
      </c>
      <c r="W12">
        <f>W11+V12</f>
        <v/>
      </c>
    </row>
    <row r="13">
      <c r="A13" t="n">
        <v>10</v>
      </c>
      <c r="B13">
        <f>INT((A13-1)/12)+1</f>
        <v/>
      </c>
      <c r="C13">
        <f>ROUND(IF(MOD($A13,12)=0,G13,(IF(13=4,0,C12))*(1-$K13)+IF((IF(13=4,0,C12))*(1-$K13)&lt;G13,(G13-(IF(13=4,0,C12))*(1-$K13))*Hypothèses!$B$10,0)),1)</f>
        <v/>
      </c>
      <c r="D13">
        <f>ROUND(IF(MOD($A13,12)=0,H13,(IF(13=4,0,D12))*(1-$K13)+IF((IF(13=4,0,D12))*(1-$K13)&lt;H13,(H13-(IF(13=4,0,D12))*(1-$K13))*Hypothèses!$B$10,0)),1)</f>
        <v/>
      </c>
      <c r="E13">
        <f>ROUND(IF(MOD($A13,12)=0,I13,(IF(13=4,0,E12))*(1-$K13)+IF((IF(13=4,0,E12))*(1-$K13)&lt;I13,(I13-(IF(13=4,0,E12))*(1-$K13))*Hypothèses!$B$10,0)),1)</f>
        <v/>
      </c>
      <c r="F13">
        <f>ROUND(IF(MOD($A13,12)=0,J13,(IF(13=4,0,F12))*(1-$K13)+IF((IF(13=4,0,F12))*(1-$K13)&lt;J13,(J13-(IF(13=4,0,F12))*(1-$K13))*Hypothèses!$B$10,0)),1)</f>
        <v/>
      </c>
      <c r="G13">
        <f>(IF(B13=1,0,IF(B13=2,Hypothèses!$B$26,IF(B13=3,Hypothèses!$C$26,Hypothèses!$D$26)))+(IF(B13=1,Hypothèses!$B$26,IF(B13=2,Hypothèses!$C$26,IF(B13=3,Hypothèses!$D$26,Hypothèses!$D$26)))-(IF(B13=1,0,IF(B13=2,Hypothèses!$B$26,IF(B13=3,Hypothèses!$C$26,Hypothèses!$D$26)))))*((A13)-INT((A13-1)/12)*12)/12)*$B$1</f>
        <v/>
      </c>
      <c r="H13">
        <f>(IF(B13=1,0,IF(B13=2,Hypothèses!$B$27,IF(B13=3,Hypothèses!$C$27,Hypothèses!$D$27)))+(IF(B13=1,Hypothèses!$B$27,IF(B13=2,Hypothèses!$C$27,IF(B13=3,Hypothèses!$D$27,Hypothèses!$D$27)))-(IF(B13=1,0,IF(B13=2,Hypothèses!$B$27,IF(B13=3,Hypothèses!$C$27,Hypothèses!$D$27)))))*((A13)-INT((A13-1)/12)*12)/12)*$B$1</f>
        <v/>
      </c>
      <c r="I13">
        <f>(IF(B13=1,0,IF(B13=2,Hypothèses!$B$28,IF(B13=3,Hypothèses!$C$28,Hypothèses!$D$28)))+(IF(B13=1,Hypothèses!$B$28,IF(B13=2,Hypothèses!$C$28,IF(B13=3,Hypothèses!$D$28,Hypothèses!$D$28)))-(IF(B13=1,0,IF(B13=2,Hypothèses!$B$28,IF(B13=3,Hypothèses!$C$28,Hypothèses!$D$28)))))*((A13)-INT((A13-1)/12)*12)/12)*$B$1</f>
        <v/>
      </c>
      <c r="J13">
        <f>(IF(B13=1,0,IF(B13=2,Hypothèses!$B$29,IF(B13=3,Hypothèses!$C$29,Hypothèses!$D$29)))+(IF(B13=1,Hypothèses!$B$29,IF(B13=2,Hypothèses!$C$29,IF(B13=3,Hypothèses!$D$29,Hypothèses!$D$29)))-(IF(B13=1,0,IF(B13=2,Hypothèses!$B$29,IF(B13=3,Hypothèses!$C$29,Hypothèses!$D$29)))))*((A13)-INT((A13-1)/12)*12)/12)*$B$1</f>
        <v/>
      </c>
      <c r="K13">
        <f>IF(A13&lt;Hypothèses!$B$7,0,Hypothèses!$B$8*(1-Hypothèses!$B$9)^(A13-Hypothèses!$B$7))</f>
        <v/>
      </c>
      <c r="L13">
        <f>C13+D13+E13+F13</f>
        <v/>
      </c>
      <c r="M13">
        <f>(C13*Hypothèses!$B$11+D13*Hypothèses!$B$12+E13*Hypothèses!$B$13+F13*Hypothèses!$B$14)*(IF(B13=1,Hypothèses!$B$20,IF(B13=2,Hypothèses!$B$21,Hypothèses!$B$22))+(1-(IF(B13=1,Hypothèses!$B$20,IF(B13=2,Hypothèses!$B$21,Hypothèses!$B$22))))*11/12)</f>
        <v/>
      </c>
      <c r="N13">
        <f>L13*IF(B13=1,Hypothèses!$C$20,IF(B13=2,Hypothèses!$C$21,Hypothèses!$C$22))*IF(B13=1,Hypothèses!$D$20,IF(B13=2,Hypothèses!$D$21,Hypothèses!$D$22))</f>
        <v/>
      </c>
      <c r="O13">
        <f>IF(A13=18,IF($B$2&gt;=1,Hypothèses!$B$33,0),IF(AND(OR(A13=30,A13=34),$D$2&gt;=1),Hypothèses!$B$34*MIN(1,$D$2/3),0))</f>
        <v/>
      </c>
      <c r="P13">
        <f>M13+N13+O13</f>
        <v/>
      </c>
      <c r="Q13">
        <f>P13/(1+Hypothèses!$B$6)</f>
        <v/>
      </c>
      <c r="R13">
        <f>Hypothèses!$B$3*(1+Hypothèses!$B$4)^INT((A13-1)/3)</f>
        <v/>
      </c>
      <c r="S13">
        <f>IF($A13&lt;7,2,IF($A13&lt;13,3,IF($A13&lt;19,4,5)))</f>
        <v/>
      </c>
      <c r="T13">
        <f>S13*Hypothèses!$B$17</f>
        <v/>
      </c>
      <c r="U13">
        <f>Q13*Hypothèses!$B$5</f>
        <v/>
      </c>
      <c r="V13">
        <f>Q13-R13-T13-U13</f>
        <v/>
      </c>
      <c r="W13">
        <f>W12+V13</f>
        <v/>
      </c>
    </row>
    <row r="14">
      <c r="A14" t="n">
        <v>11</v>
      </c>
      <c r="B14">
        <f>INT((A14-1)/12)+1</f>
        <v/>
      </c>
      <c r="C14">
        <f>ROUND(IF(MOD($A14,12)=0,G14,(IF(14=4,0,C13))*(1-$K14)+IF((IF(14=4,0,C13))*(1-$K14)&lt;G14,(G14-(IF(14=4,0,C13))*(1-$K14))*Hypothèses!$B$10,0)),1)</f>
        <v/>
      </c>
      <c r="D14">
        <f>ROUND(IF(MOD($A14,12)=0,H14,(IF(14=4,0,D13))*(1-$K14)+IF((IF(14=4,0,D13))*(1-$K14)&lt;H14,(H14-(IF(14=4,0,D13))*(1-$K14))*Hypothèses!$B$10,0)),1)</f>
        <v/>
      </c>
      <c r="E14">
        <f>ROUND(IF(MOD($A14,12)=0,I14,(IF(14=4,0,E13))*(1-$K14)+IF((IF(14=4,0,E13))*(1-$K14)&lt;I14,(I14-(IF(14=4,0,E13))*(1-$K14))*Hypothèses!$B$10,0)),1)</f>
        <v/>
      </c>
      <c r="F14">
        <f>ROUND(IF(MOD($A14,12)=0,J14,(IF(14=4,0,F13))*(1-$K14)+IF((IF(14=4,0,F13))*(1-$K14)&lt;J14,(J14-(IF(14=4,0,F13))*(1-$K14))*Hypothèses!$B$10,0)),1)</f>
        <v/>
      </c>
      <c r="G14">
        <f>(IF(B14=1,0,IF(B14=2,Hypothèses!$B$26,IF(B14=3,Hypothèses!$C$26,Hypothèses!$D$26)))+(IF(B14=1,Hypothèses!$B$26,IF(B14=2,Hypothèses!$C$26,IF(B14=3,Hypothèses!$D$26,Hypothèses!$D$26)))-(IF(B14=1,0,IF(B14=2,Hypothèses!$B$26,IF(B14=3,Hypothèses!$C$26,Hypothèses!$D$26)))))*((A14)-INT((A14-1)/12)*12)/12)*$B$1</f>
        <v/>
      </c>
      <c r="H14">
        <f>(IF(B14=1,0,IF(B14=2,Hypothèses!$B$27,IF(B14=3,Hypothèses!$C$27,Hypothèses!$D$27)))+(IF(B14=1,Hypothèses!$B$27,IF(B14=2,Hypothèses!$C$27,IF(B14=3,Hypothèses!$D$27,Hypothèses!$D$27)))-(IF(B14=1,0,IF(B14=2,Hypothèses!$B$27,IF(B14=3,Hypothèses!$C$27,Hypothèses!$D$27)))))*((A14)-INT((A14-1)/12)*12)/12)*$B$1</f>
        <v/>
      </c>
      <c r="I14">
        <f>(IF(B14=1,0,IF(B14=2,Hypothèses!$B$28,IF(B14=3,Hypothèses!$C$28,Hypothèses!$D$28)))+(IF(B14=1,Hypothèses!$B$28,IF(B14=2,Hypothèses!$C$28,IF(B14=3,Hypothèses!$D$28,Hypothèses!$D$28)))-(IF(B14=1,0,IF(B14=2,Hypothèses!$B$28,IF(B14=3,Hypothèses!$C$28,Hypothèses!$D$28)))))*((A14)-INT((A14-1)/12)*12)/12)*$B$1</f>
        <v/>
      </c>
      <c r="J14">
        <f>(IF(B14=1,0,IF(B14=2,Hypothèses!$B$29,IF(B14=3,Hypothèses!$C$29,Hypothèses!$D$29)))+(IF(B14=1,Hypothèses!$B$29,IF(B14=2,Hypothèses!$C$29,IF(B14=3,Hypothèses!$D$29,Hypothèses!$D$29)))-(IF(B14=1,0,IF(B14=2,Hypothèses!$B$29,IF(B14=3,Hypothèses!$C$29,Hypothèses!$D$29)))))*((A14)-INT((A14-1)/12)*12)/12)*$B$1</f>
        <v/>
      </c>
      <c r="K14">
        <f>IF(A14&lt;Hypothèses!$B$7,0,Hypothèses!$B$8*(1-Hypothèses!$B$9)^(A14-Hypothèses!$B$7))</f>
        <v/>
      </c>
      <c r="L14">
        <f>C14+D14+E14+F14</f>
        <v/>
      </c>
      <c r="M14">
        <f>(C14*Hypothèses!$B$11+D14*Hypothèses!$B$12+E14*Hypothèses!$B$13+F14*Hypothèses!$B$14)*(IF(B14=1,Hypothèses!$B$20,IF(B14=2,Hypothèses!$B$21,Hypothèses!$B$22))+(1-(IF(B14=1,Hypothèses!$B$20,IF(B14=2,Hypothèses!$B$21,Hypothèses!$B$22))))*11/12)</f>
        <v/>
      </c>
      <c r="N14">
        <f>L14*IF(B14=1,Hypothèses!$C$20,IF(B14=2,Hypothèses!$C$21,Hypothèses!$C$22))*IF(B14=1,Hypothèses!$D$20,IF(B14=2,Hypothèses!$D$21,Hypothèses!$D$22))</f>
        <v/>
      </c>
      <c r="O14">
        <f>IF(A14=18,IF($B$2&gt;=1,Hypothèses!$B$33,0),IF(AND(OR(A14=30,A14=34),$D$2&gt;=1),Hypothèses!$B$34*MIN(1,$D$2/3),0))</f>
        <v/>
      </c>
      <c r="P14">
        <f>M14+N14+O14</f>
        <v/>
      </c>
      <c r="Q14">
        <f>P14/(1+Hypothèses!$B$6)</f>
        <v/>
      </c>
      <c r="R14">
        <f>Hypothèses!$B$3*(1+Hypothèses!$B$4)^INT((A14-1)/3)</f>
        <v/>
      </c>
      <c r="S14">
        <f>IF($A14&lt;7,2,IF($A14&lt;13,3,IF($A14&lt;19,4,5)))</f>
        <v/>
      </c>
      <c r="T14">
        <f>S14*Hypothèses!$B$17</f>
        <v/>
      </c>
      <c r="U14">
        <f>Q14*Hypothèses!$B$5</f>
        <v/>
      </c>
      <c r="V14">
        <f>Q14-R14-T14-U14</f>
        <v/>
      </c>
      <c r="W14">
        <f>W13+V14</f>
        <v/>
      </c>
    </row>
    <row r="15">
      <c r="A15" t="n">
        <v>12</v>
      </c>
      <c r="B15">
        <f>INT((A15-1)/12)+1</f>
        <v/>
      </c>
      <c r="C15">
        <f>ROUND(IF(MOD($A15,12)=0,G15,(IF(15=4,0,C14))*(1-$K15)+IF((IF(15=4,0,C14))*(1-$K15)&lt;G15,(G15-(IF(15=4,0,C14))*(1-$K15))*Hypothèses!$B$10,0)),1)</f>
        <v/>
      </c>
      <c r="D15">
        <f>ROUND(IF(MOD($A15,12)=0,H15,(IF(15=4,0,D14))*(1-$K15)+IF((IF(15=4,0,D14))*(1-$K15)&lt;H15,(H15-(IF(15=4,0,D14))*(1-$K15))*Hypothèses!$B$10,0)),1)</f>
        <v/>
      </c>
      <c r="E15">
        <f>ROUND(IF(MOD($A15,12)=0,I15,(IF(15=4,0,E14))*(1-$K15)+IF((IF(15=4,0,E14))*(1-$K15)&lt;I15,(I15-(IF(15=4,0,E14))*(1-$K15))*Hypothèses!$B$10,0)),1)</f>
        <v/>
      </c>
      <c r="F15">
        <f>ROUND(IF(MOD($A15,12)=0,J15,(IF(15=4,0,F14))*(1-$K15)+IF((IF(15=4,0,F14))*(1-$K15)&lt;J15,(J15-(IF(15=4,0,F14))*(1-$K15))*Hypothèses!$B$10,0)),1)</f>
        <v/>
      </c>
      <c r="G15">
        <f>(IF(B15=1,0,IF(B15=2,Hypothèses!$B$26,IF(B15=3,Hypothèses!$C$26,Hypothèses!$D$26)))+(IF(B15=1,Hypothèses!$B$26,IF(B15=2,Hypothèses!$C$26,IF(B15=3,Hypothèses!$D$26,Hypothèses!$D$26)))-(IF(B15=1,0,IF(B15=2,Hypothèses!$B$26,IF(B15=3,Hypothèses!$C$26,Hypothèses!$D$26)))))*((A15)-INT((A15-1)/12)*12)/12)*$B$1</f>
        <v/>
      </c>
      <c r="H15">
        <f>(IF(B15=1,0,IF(B15=2,Hypothèses!$B$27,IF(B15=3,Hypothèses!$C$27,Hypothèses!$D$27)))+(IF(B15=1,Hypothèses!$B$27,IF(B15=2,Hypothèses!$C$27,IF(B15=3,Hypothèses!$D$27,Hypothèses!$D$27)))-(IF(B15=1,0,IF(B15=2,Hypothèses!$B$27,IF(B15=3,Hypothèses!$C$27,Hypothèses!$D$27)))))*((A15)-INT((A15-1)/12)*12)/12)*$B$1</f>
        <v/>
      </c>
      <c r="I15">
        <f>(IF(B15=1,0,IF(B15=2,Hypothèses!$B$28,IF(B15=3,Hypothèses!$C$28,Hypothèses!$D$28)))+(IF(B15=1,Hypothèses!$B$28,IF(B15=2,Hypothèses!$C$28,IF(B15=3,Hypothèses!$D$28,Hypothèses!$D$28)))-(IF(B15=1,0,IF(B15=2,Hypothèses!$B$28,IF(B15=3,Hypothèses!$C$28,Hypothèses!$D$28)))))*((A15)-INT((A15-1)/12)*12)/12)*$B$1</f>
        <v/>
      </c>
      <c r="J15">
        <f>(IF(B15=1,0,IF(B15=2,Hypothèses!$B$29,IF(B15=3,Hypothèses!$C$29,Hypothèses!$D$29)))+(IF(B15=1,Hypothèses!$B$29,IF(B15=2,Hypothèses!$C$29,IF(B15=3,Hypothèses!$D$29,Hypothèses!$D$29)))-(IF(B15=1,0,IF(B15=2,Hypothèses!$B$29,IF(B15=3,Hypothèses!$C$29,Hypothèses!$D$29)))))*((A15)-INT((A15-1)/12)*12)/12)*$B$1</f>
        <v/>
      </c>
      <c r="K15">
        <f>IF(A15&lt;Hypothèses!$B$7,0,Hypothèses!$B$8*(1-Hypothèses!$B$9)^(A15-Hypothèses!$B$7))</f>
        <v/>
      </c>
      <c r="L15">
        <f>C15+D15+E15+F15</f>
        <v/>
      </c>
      <c r="M15">
        <f>(C15*Hypothèses!$B$11+D15*Hypothèses!$B$12+E15*Hypothèses!$B$13+F15*Hypothèses!$B$14)*(IF(B15=1,Hypothèses!$B$20,IF(B15=2,Hypothèses!$B$21,Hypothèses!$B$22))+(1-(IF(B15=1,Hypothèses!$B$20,IF(B15=2,Hypothèses!$B$21,Hypothèses!$B$22))))*11/12)</f>
        <v/>
      </c>
      <c r="N15">
        <f>L15*IF(B15=1,Hypothèses!$C$20,IF(B15=2,Hypothèses!$C$21,Hypothèses!$C$22))*IF(B15=1,Hypothèses!$D$20,IF(B15=2,Hypothèses!$D$21,Hypothèses!$D$22))</f>
        <v/>
      </c>
      <c r="O15">
        <f>IF(A15=18,IF($B$2&gt;=1,Hypothèses!$B$33,0),IF(AND(OR(A15=30,A15=34),$D$2&gt;=1),Hypothèses!$B$34*MIN(1,$D$2/3),0))</f>
        <v/>
      </c>
      <c r="P15">
        <f>M15+N15+O15</f>
        <v/>
      </c>
      <c r="Q15">
        <f>P15/(1+Hypothèses!$B$6)</f>
        <v/>
      </c>
      <c r="R15">
        <f>Hypothèses!$B$3*(1+Hypothèses!$B$4)^INT((A15-1)/3)</f>
        <v/>
      </c>
      <c r="S15">
        <f>IF($A15&lt;7,2,IF($A15&lt;13,3,IF($A15&lt;19,4,5)))</f>
        <v/>
      </c>
      <c r="T15">
        <f>S15*Hypothèses!$B$17</f>
        <v/>
      </c>
      <c r="U15">
        <f>Q15*Hypothèses!$B$5</f>
        <v/>
      </c>
      <c r="V15">
        <f>Q15-R15-T15-U15</f>
        <v/>
      </c>
      <c r="W15">
        <f>W14+V15</f>
        <v/>
      </c>
    </row>
    <row r="16">
      <c r="A16" t="n">
        <v>13</v>
      </c>
      <c r="B16">
        <f>INT((A16-1)/12)+1</f>
        <v/>
      </c>
      <c r="C16">
        <f>ROUND(IF(MOD($A16,12)=0,G16,(IF(16=4,0,C15))*(1-$K16)+IF((IF(16=4,0,C15))*(1-$K16)&lt;G16,(G16-(IF(16=4,0,C15))*(1-$K16))*Hypothèses!$B$10,0)),1)</f>
        <v/>
      </c>
      <c r="D16">
        <f>ROUND(IF(MOD($A16,12)=0,H16,(IF(16=4,0,D15))*(1-$K16)+IF((IF(16=4,0,D15))*(1-$K16)&lt;H16,(H16-(IF(16=4,0,D15))*(1-$K16))*Hypothèses!$B$10,0)),1)</f>
        <v/>
      </c>
      <c r="E16">
        <f>ROUND(IF(MOD($A16,12)=0,I16,(IF(16=4,0,E15))*(1-$K16)+IF((IF(16=4,0,E15))*(1-$K16)&lt;I16,(I16-(IF(16=4,0,E15))*(1-$K16))*Hypothèses!$B$10,0)),1)</f>
        <v/>
      </c>
      <c r="F16">
        <f>ROUND(IF(MOD($A16,12)=0,J16,(IF(16=4,0,F15))*(1-$K16)+IF((IF(16=4,0,F15))*(1-$K16)&lt;J16,(J16-(IF(16=4,0,F15))*(1-$K16))*Hypothèses!$B$10,0)),1)</f>
        <v/>
      </c>
      <c r="G16">
        <f>(IF(B16=1,0,IF(B16=2,Hypothèses!$B$26,IF(B16=3,Hypothèses!$C$26,Hypothèses!$D$26)))+(IF(B16=1,Hypothèses!$B$26,IF(B16=2,Hypothèses!$C$26,IF(B16=3,Hypothèses!$D$26,Hypothèses!$D$26)))-(IF(B16=1,0,IF(B16=2,Hypothèses!$B$26,IF(B16=3,Hypothèses!$C$26,Hypothèses!$D$26)))))*((A16)-INT((A16-1)/12)*12)/12)*$B$1</f>
        <v/>
      </c>
      <c r="H16">
        <f>(IF(B16=1,0,IF(B16=2,Hypothèses!$B$27,IF(B16=3,Hypothèses!$C$27,Hypothèses!$D$27)))+(IF(B16=1,Hypothèses!$B$27,IF(B16=2,Hypothèses!$C$27,IF(B16=3,Hypothèses!$D$27,Hypothèses!$D$27)))-(IF(B16=1,0,IF(B16=2,Hypothèses!$B$27,IF(B16=3,Hypothèses!$C$27,Hypothèses!$D$27)))))*((A16)-INT((A16-1)/12)*12)/12)*$B$1</f>
        <v/>
      </c>
      <c r="I16">
        <f>(IF(B16=1,0,IF(B16=2,Hypothèses!$B$28,IF(B16=3,Hypothèses!$C$28,Hypothèses!$D$28)))+(IF(B16=1,Hypothèses!$B$28,IF(B16=2,Hypothèses!$C$28,IF(B16=3,Hypothèses!$D$28,Hypothèses!$D$28)))-(IF(B16=1,0,IF(B16=2,Hypothèses!$B$28,IF(B16=3,Hypothèses!$C$28,Hypothèses!$D$28)))))*((A16)-INT((A16-1)/12)*12)/12)*$B$1</f>
        <v/>
      </c>
      <c r="J16">
        <f>(IF(B16=1,0,IF(B16=2,Hypothèses!$B$29,IF(B16=3,Hypothèses!$C$29,Hypothèses!$D$29)))+(IF(B16=1,Hypothèses!$B$29,IF(B16=2,Hypothèses!$C$29,IF(B16=3,Hypothèses!$D$29,Hypothèses!$D$29)))-(IF(B16=1,0,IF(B16=2,Hypothèses!$B$29,IF(B16=3,Hypothèses!$C$29,Hypothèses!$D$29)))))*((A16)-INT((A16-1)/12)*12)/12)*$B$1</f>
        <v/>
      </c>
      <c r="K16">
        <f>IF(A16&lt;Hypothèses!$B$7,0,Hypothèses!$B$8*(1-Hypothèses!$B$9)^(A16-Hypothèses!$B$7))</f>
        <v/>
      </c>
      <c r="L16">
        <f>C16+D16+E16+F16</f>
        <v/>
      </c>
      <c r="M16">
        <f>(C16*Hypothèses!$B$11+D16*Hypothèses!$B$12+E16*Hypothèses!$B$13+F16*Hypothèses!$B$14)*(IF(B16=1,Hypothèses!$B$20,IF(B16=2,Hypothèses!$B$21,Hypothèses!$B$22))+(1-(IF(B16=1,Hypothèses!$B$20,IF(B16=2,Hypothèses!$B$21,Hypothèses!$B$22))))*11/12)</f>
        <v/>
      </c>
      <c r="N16">
        <f>L16*IF(B16=1,Hypothèses!$C$20,IF(B16=2,Hypothèses!$C$21,Hypothèses!$C$22))*IF(B16=1,Hypothèses!$D$20,IF(B16=2,Hypothèses!$D$21,Hypothèses!$D$22))</f>
        <v/>
      </c>
      <c r="O16">
        <f>IF(A16=18,IF($B$2&gt;=1,Hypothèses!$B$33,0),IF(AND(OR(A16=30,A16=34),$D$2&gt;=1),Hypothèses!$B$34*MIN(1,$D$2/3),0))</f>
        <v/>
      </c>
      <c r="P16">
        <f>M16+N16+O16</f>
        <v/>
      </c>
      <c r="Q16">
        <f>P16/(1+Hypothèses!$B$6)</f>
        <v/>
      </c>
      <c r="R16">
        <f>Hypothèses!$B$3*(1+Hypothèses!$B$4)^INT((A16-1)/3)</f>
        <v/>
      </c>
      <c r="S16">
        <f>IF($A16&lt;7,2,IF($A16&lt;13,3,IF($A16&lt;19,4,5)))</f>
        <v/>
      </c>
      <c r="T16">
        <f>S16*Hypothèses!$B$17</f>
        <v/>
      </c>
      <c r="U16">
        <f>Q16*Hypothèses!$B$5</f>
        <v/>
      </c>
      <c r="V16">
        <f>Q16-R16-T16-U16</f>
        <v/>
      </c>
      <c r="W16">
        <f>W15+V16</f>
        <v/>
      </c>
    </row>
    <row r="17">
      <c r="A17" t="n">
        <v>14</v>
      </c>
      <c r="B17">
        <f>INT((A17-1)/12)+1</f>
        <v/>
      </c>
      <c r="C17">
        <f>ROUND(IF(MOD($A17,12)=0,G17,(IF(17=4,0,C16))*(1-$K17)+IF((IF(17=4,0,C16))*(1-$K17)&lt;G17,(G17-(IF(17=4,0,C16))*(1-$K17))*Hypothèses!$B$10,0)),1)</f>
        <v/>
      </c>
      <c r="D17">
        <f>ROUND(IF(MOD($A17,12)=0,H17,(IF(17=4,0,D16))*(1-$K17)+IF((IF(17=4,0,D16))*(1-$K17)&lt;H17,(H17-(IF(17=4,0,D16))*(1-$K17))*Hypothèses!$B$10,0)),1)</f>
        <v/>
      </c>
      <c r="E17">
        <f>ROUND(IF(MOD($A17,12)=0,I17,(IF(17=4,0,E16))*(1-$K17)+IF((IF(17=4,0,E16))*(1-$K17)&lt;I17,(I17-(IF(17=4,0,E16))*(1-$K17))*Hypothèses!$B$10,0)),1)</f>
        <v/>
      </c>
      <c r="F17">
        <f>ROUND(IF(MOD($A17,12)=0,J17,(IF(17=4,0,F16))*(1-$K17)+IF((IF(17=4,0,F16))*(1-$K17)&lt;J17,(J17-(IF(17=4,0,F16))*(1-$K17))*Hypothèses!$B$10,0)),1)</f>
        <v/>
      </c>
      <c r="G17">
        <f>(IF(B17=1,0,IF(B17=2,Hypothèses!$B$26,IF(B17=3,Hypothèses!$C$26,Hypothèses!$D$26)))+(IF(B17=1,Hypothèses!$B$26,IF(B17=2,Hypothèses!$C$26,IF(B17=3,Hypothèses!$D$26,Hypothèses!$D$26)))-(IF(B17=1,0,IF(B17=2,Hypothèses!$B$26,IF(B17=3,Hypothèses!$C$26,Hypothèses!$D$26)))))*((A17)-INT((A17-1)/12)*12)/12)*$B$1</f>
        <v/>
      </c>
      <c r="H17">
        <f>(IF(B17=1,0,IF(B17=2,Hypothèses!$B$27,IF(B17=3,Hypothèses!$C$27,Hypothèses!$D$27)))+(IF(B17=1,Hypothèses!$B$27,IF(B17=2,Hypothèses!$C$27,IF(B17=3,Hypothèses!$D$27,Hypothèses!$D$27)))-(IF(B17=1,0,IF(B17=2,Hypothèses!$B$27,IF(B17=3,Hypothèses!$C$27,Hypothèses!$D$27)))))*((A17)-INT((A17-1)/12)*12)/12)*$B$1</f>
        <v/>
      </c>
      <c r="I17">
        <f>(IF(B17=1,0,IF(B17=2,Hypothèses!$B$28,IF(B17=3,Hypothèses!$C$28,Hypothèses!$D$28)))+(IF(B17=1,Hypothèses!$B$28,IF(B17=2,Hypothèses!$C$28,IF(B17=3,Hypothèses!$D$28,Hypothèses!$D$28)))-(IF(B17=1,0,IF(B17=2,Hypothèses!$B$28,IF(B17=3,Hypothèses!$C$28,Hypothèses!$D$28)))))*((A17)-INT((A17-1)/12)*12)/12)*$B$1</f>
        <v/>
      </c>
      <c r="J17">
        <f>(IF(B17=1,0,IF(B17=2,Hypothèses!$B$29,IF(B17=3,Hypothèses!$C$29,Hypothèses!$D$29)))+(IF(B17=1,Hypothèses!$B$29,IF(B17=2,Hypothèses!$C$29,IF(B17=3,Hypothèses!$D$29,Hypothèses!$D$29)))-(IF(B17=1,0,IF(B17=2,Hypothèses!$B$29,IF(B17=3,Hypothèses!$C$29,Hypothèses!$D$29)))))*((A17)-INT((A17-1)/12)*12)/12)*$B$1</f>
        <v/>
      </c>
      <c r="K17">
        <f>IF(A17&lt;Hypothèses!$B$7,0,Hypothèses!$B$8*(1-Hypothèses!$B$9)^(A17-Hypothèses!$B$7))</f>
        <v/>
      </c>
      <c r="L17">
        <f>C17+D17+E17+F17</f>
        <v/>
      </c>
      <c r="M17">
        <f>(C17*Hypothèses!$B$11+D17*Hypothèses!$B$12+E17*Hypothèses!$B$13+F17*Hypothèses!$B$14)*(IF(B17=1,Hypothèses!$B$20,IF(B17=2,Hypothèses!$B$21,Hypothèses!$B$22))+(1-(IF(B17=1,Hypothèses!$B$20,IF(B17=2,Hypothèses!$B$21,Hypothèses!$B$22))))*11/12)</f>
        <v/>
      </c>
      <c r="N17">
        <f>L17*IF(B17=1,Hypothèses!$C$20,IF(B17=2,Hypothèses!$C$21,Hypothèses!$C$22))*IF(B17=1,Hypothèses!$D$20,IF(B17=2,Hypothèses!$D$21,Hypothèses!$D$22))</f>
        <v/>
      </c>
      <c r="O17">
        <f>IF(A17=18,IF($B$2&gt;=1,Hypothèses!$B$33,0),IF(AND(OR(A17=30,A17=34),$D$2&gt;=1),Hypothèses!$B$34*MIN(1,$D$2/3),0))</f>
        <v/>
      </c>
      <c r="P17">
        <f>M17+N17+O17</f>
        <v/>
      </c>
      <c r="Q17">
        <f>P17/(1+Hypothèses!$B$6)</f>
        <v/>
      </c>
      <c r="R17">
        <f>Hypothèses!$B$3*(1+Hypothèses!$B$4)^INT((A17-1)/3)</f>
        <v/>
      </c>
      <c r="S17">
        <f>IF($A17&lt;7,2,IF($A17&lt;13,3,IF($A17&lt;19,4,5)))</f>
        <v/>
      </c>
      <c r="T17">
        <f>S17*Hypothèses!$B$17</f>
        <v/>
      </c>
      <c r="U17">
        <f>Q17*Hypothèses!$B$5</f>
        <v/>
      </c>
      <c r="V17">
        <f>Q17-R17-T17-U17</f>
        <v/>
      </c>
      <c r="W17">
        <f>W16+V17</f>
        <v/>
      </c>
    </row>
    <row r="18">
      <c r="A18" t="n">
        <v>15</v>
      </c>
      <c r="B18">
        <f>INT((A18-1)/12)+1</f>
        <v/>
      </c>
      <c r="C18">
        <f>ROUND(IF(MOD($A18,12)=0,G18,(IF(18=4,0,C17))*(1-$K18)+IF((IF(18=4,0,C17))*(1-$K18)&lt;G18,(G18-(IF(18=4,0,C17))*(1-$K18))*Hypothèses!$B$10,0)),1)</f>
        <v/>
      </c>
      <c r="D18">
        <f>ROUND(IF(MOD($A18,12)=0,H18,(IF(18=4,0,D17))*(1-$K18)+IF((IF(18=4,0,D17))*(1-$K18)&lt;H18,(H18-(IF(18=4,0,D17))*(1-$K18))*Hypothèses!$B$10,0)),1)</f>
        <v/>
      </c>
      <c r="E18">
        <f>ROUND(IF(MOD($A18,12)=0,I18,(IF(18=4,0,E17))*(1-$K18)+IF((IF(18=4,0,E17))*(1-$K18)&lt;I18,(I18-(IF(18=4,0,E17))*(1-$K18))*Hypothèses!$B$10,0)),1)</f>
        <v/>
      </c>
      <c r="F18">
        <f>ROUND(IF(MOD($A18,12)=0,J18,(IF(18=4,0,F17))*(1-$K18)+IF((IF(18=4,0,F17))*(1-$K18)&lt;J18,(J18-(IF(18=4,0,F17))*(1-$K18))*Hypothèses!$B$10,0)),1)</f>
        <v/>
      </c>
      <c r="G18">
        <f>(IF(B18=1,0,IF(B18=2,Hypothèses!$B$26,IF(B18=3,Hypothèses!$C$26,Hypothèses!$D$26)))+(IF(B18=1,Hypothèses!$B$26,IF(B18=2,Hypothèses!$C$26,IF(B18=3,Hypothèses!$D$26,Hypothèses!$D$26)))-(IF(B18=1,0,IF(B18=2,Hypothèses!$B$26,IF(B18=3,Hypothèses!$C$26,Hypothèses!$D$26)))))*((A18)-INT((A18-1)/12)*12)/12)*$B$1</f>
        <v/>
      </c>
      <c r="H18">
        <f>(IF(B18=1,0,IF(B18=2,Hypothèses!$B$27,IF(B18=3,Hypothèses!$C$27,Hypothèses!$D$27)))+(IF(B18=1,Hypothèses!$B$27,IF(B18=2,Hypothèses!$C$27,IF(B18=3,Hypothèses!$D$27,Hypothèses!$D$27)))-(IF(B18=1,0,IF(B18=2,Hypothèses!$B$27,IF(B18=3,Hypothèses!$C$27,Hypothèses!$D$27)))))*((A18)-INT((A18-1)/12)*12)/12)*$B$1</f>
        <v/>
      </c>
      <c r="I18">
        <f>(IF(B18=1,0,IF(B18=2,Hypothèses!$B$28,IF(B18=3,Hypothèses!$C$28,Hypothèses!$D$28)))+(IF(B18=1,Hypothèses!$B$28,IF(B18=2,Hypothèses!$C$28,IF(B18=3,Hypothèses!$D$28,Hypothèses!$D$28)))-(IF(B18=1,0,IF(B18=2,Hypothèses!$B$28,IF(B18=3,Hypothèses!$C$28,Hypothèses!$D$28)))))*((A18)-INT((A18-1)/12)*12)/12)*$B$1</f>
        <v/>
      </c>
      <c r="J18">
        <f>(IF(B18=1,0,IF(B18=2,Hypothèses!$B$29,IF(B18=3,Hypothèses!$C$29,Hypothèses!$D$29)))+(IF(B18=1,Hypothèses!$B$29,IF(B18=2,Hypothèses!$C$29,IF(B18=3,Hypothèses!$D$29,Hypothèses!$D$29)))-(IF(B18=1,0,IF(B18=2,Hypothèses!$B$29,IF(B18=3,Hypothèses!$C$29,Hypothèses!$D$29)))))*((A18)-INT((A18-1)/12)*12)/12)*$B$1</f>
        <v/>
      </c>
      <c r="K18">
        <f>IF(A18&lt;Hypothèses!$B$7,0,Hypothèses!$B$8*(1-Hypothèses!$B$9)^(A18-Hypothèses!$B$7))</f>
        <v/>
      </c>
      <c r="L18">
        <f>C18+D18+E18+F18</f>
        <v/>
      </c>
      <c r="M18">
        <f>(C18*Hypothèses!$B$11+D18*Hypothèses!$B$12+E18*Hypothèses!$B$13+F18*Hypothèses!$B$14)*(IF(B18=1,Hypothèses!$B$20,IF(B18=2,Hypothèses!$B$21,Hypothèses!$B$22))+(1-(IF(B18=1,Hypothèses!$B$20,IF(B18=2,Hypothèses!$B$21,Hypothèses!$B$22))))*11/12)</f>
        <v/>
      </c>
      <c r="N18">
        <f>L18*IF(B18=1,Hypothèses!$C$20,IF(B18=2,Hypothèses!$C$21,Hypothèses!$C$22))*IF(B18=1,Hypothèses!$D$20,IF(B18=2,Hypothèses!$D$21,Hypothèses!$D$22))</f>
        <v/>
      </c>
      <c r="O18">
        <f>IF(A18=18,IF($B$2&gt;=1,Hypothèses!$B$33,0),IF(AND(OR(A18=30,A18=34),$D$2&gt;=1),Hypothèses!$B$34*MIN(1,$D$2/3),0))</f>
        <v/>
      </c>
      <c r="P18">
        <f>M18+N18+O18</f>
        <v/>
      </c>
      <c r="Q18">
        <f>P18/(1+Hypothèses!$B$6)</f>
        <v/>
      </c>
      <c r="R18">
        <f>Hypothèses!$B$3*(1+Hypothèses!$B$4)^INT((A18-1)/3)</f>
        <v/>
      </c>
      <c r="S18">
        <f>IF($A18&lt;7,2,IF($A18&lt;13,3,IF($A18&lt;19,4,5)))</f>
        <v/>
      </c>
      <c r="T18">
        <f>S18*Hypothèses!$B$17</f>
        <v/>
      </c>
      <c r="U18">
        <f>Q18*Hypothèses!$B$5</f>
        <v/>
      </c>
      <c r="V18">
        <f>Q18-R18-T18-U18</f>
        <v/>
      </c>
      <c r="W18">
        <f>W17+V18</f>
        <v/>
      </c>
    </row>
    <row r="19">
      <c r="A19" t="n">
        <v>16</v>
      </c>
      <c r="B19">
        <f>INT((A19-1)/12)+1</f>
        <v/>
      </c>
      <c r="C19">
        <f>ROUND(IF(MOD($A19,12)=0,G19,(IF(19=4,0,C18))*(1-$K19)+IF((IF(19=4,0,C18))*(1-$K19)&lt;G19,(G19-(IF(19=4,0,C18))*(1-$K19))*Hypothèses!$B$10,0)),1)</f>
        <v/>
      </c>
      <c r="D19">
        <f>ROUND(IF(MOD($A19,12)=0,H19,(IF(19=4,0,D18))*(1-$K19)+IF((IF(19=4,0,D18))*(1-$K19)&lt;H19,(H19-(IF(19=4,0,D18))*(1-$K19))*Hypothèses!$B$10,0)),1)</f>
        <v/>
      </c>
      <c r="E19">
        <f>ROUND(IF(MOD($A19,12)=0,I19,(IF(19=4,0,E18))*(1-$K19)+IF((IF(19=4,0,E18))*(1-$K19)&lt;I19,(I19-(IF(19=4,0,E18))*(1-$K19))*Hypothèses!$B$10,0)),1)</f>
        <v/>
      </c>
      <c r="F19">
        <f>ROUND(IF(MOD($A19,12)=0,J19,(IF(19=4,0,F18))*(1-$K19)+IF((IF(19=4,0,F18))*(1-$K19)&lt;J19,(J19-(IF(19=4,0,F18))*(1-$K19))*Hypothèses!$B$10,0)),1)</f>
        <v/>
      </c>
      <c r="G19">
        <f>(IF(B19=1,0,IF(B19=2,Hypothèses!$B$26,IF(B19=3,Hypothèses!$C$26,Hypothèses!$D$26)))+(IF(B19=1,Hypothèses!$B$26,IF(B19=2,Hypothèses!$C$26,IF(B19=3,Hypothèses!$D$26,Hypothèses!$D$26)))-(IF(B19=1,0,IF(B19=2,Hypothèses!$B$26,IF(B19=3,Hypothèses!$C$26,Hypothèses!$D$26)))))*((A19)-INT((A19-1)/12)*12)/12)*$B$1</f>
        <v/>
      </c>
      <c r="H19">
        <f>(IF(B19=1,0,IF(B19=2,Hypothèses!$B$27,IF(B19=3,Hypothèses!$C$27,Hypothèses!$D$27)))+(IF(B19=1,Hypothèses!$B$27,IF(B19=2,Hypothèses!$C$27,IF(B19=3,Hypothèses!$D$27,Hypothèses!$D$27)))-(IF(B19=1,0,IF(B19=2,Hypothèses!$B$27,IF(B19=3,Hypothèses!$C$27,Hypothèses!$D$27)))))*((A19)-INT((A19-1)/12)*12)/12)*$B$1</f>
        <v/>
      </c>
      <c r="I19">
        <f>(IF(B19=1,0,IF(B19=2,Hypothèses!$B$28,IF(B19=3,Hypothèses!$C$28,Hypothèses!$D$28)))+(IF(B19=1,Hypothèses!$B$28,IF(B19=2,Hypothèses!$C$28,IF(B19=3,Hypothèses!$D$28,Hypothèses!$D$28)))-(IF(B19=1,0,IF(B19=2,Hypothèses!$B$28,IF(B19=3,Hypothèses!$C$28,Hypothèses!$D$28)))))*((A19)-INT((A19-1)/12)*12)/12)*$B$1</f>
        <v/>
      </c>
      <c r="J19">
        <f>(IF(B19=1,0,IF(B19=2,Hypothèses!$B$29,IF(B19=3,Hypothèses!$C$29,Hypothèses!$D$29)))+(IF(B19=1,Hypothèses!$B$29,IF(B19=2,Hypothèses!$C$29,IF(B19=3,Hypothèses!$D$29,Hypothèses!$D$29)))-(IF(B19=1,0,IF(B19=2,Hypothèses!$B$29,IF(B19=3,Hypothèses!$C$29,Hypothèses!$D$29)))))*((A19)-INT((A19-1)/12)*12)/12)*$B$1</f>
        <v/>
      </c>
      <c r="K19">
        <f>IF(A19&lt;Hypothèses!$B$7,0,Hypothèses!$B$8*(1-Hypothèses!$B$9)^(A19-Hypothèses!$B$7))</f>
        <v/>
      </c>
      <c r="L19">
        <f>C19+D19+E19+F19</f>
        <v/>
      </c>
      <c r="M19">
        <f>(C19*Hypothèses!$B$11+D19*Hypothèses!$B$12+E19*Hypothèses!$B$13+F19*Hypothèses!$B$14)*(IF(B19=1,Hypothèses!$B$20,IF(B19=2,Hypothèses!$B$21,Hypothèses!$B$22))+(1-(IF(B19=1,Hypothèses!$B$20,IF(B19=2,Hypothèses!$B$21,Hypothèses!$B$22))))*11/12)</f>
        <v/>
      </c>
      <c r="N19">
        <f>L19*IF(B19=1,Hypothèses!$C$20,IF(B19=2,Hypothèses!$C$21,Hypothèses!$C$22))*IF(B19=1,Hypothèses!$D$20,IF(B19=2,Hypothèses!$D$21,Hypothèses!$D$22))</f>
        <v/>
      </c>
      <c r="O19">
        <f>IF(A19=18,IF($B$2&gt;=1,Hypothèses!$B$33,0),IF(AND(OR(A19=30,A19=34),$D$2&gt;=1),Hypothèses!$B$34*MIN(1,$D$2/3),0))</f>
        <v/>
      </c>
      <c r="P19">
        <f>M19+N19+O19</f>
        <v/>
      </c>
      <c r="Q19">
        <f>P19/(1+Hypothèses!$B$6)</f>
        <v/>
      </c>
      <c r="R19">
        <f>Hypothèses!$B$3*(1+Hypothèses!$B$4)^INT((A19-1)/3)</f>
        <v/>
      </c>
      <c r="S19">
        <f>IF($A19&lt;7,2,IF($A19&lt;13,3,IF($A19&lt;19,4,5)))</f>
        <v/>
      </c>
      <c r="T19">
        <f>S19*Hypothèses!$B$17</f>
        <v/>
      </c>
      <c r="U19">
        <f>Q19*Hypothèses!$B$5</f>
        <v/>
      </c>
      <c r="V19">
        <f>Q19-R19-T19-U19</f>
        <v/>
      </c>
      <c r="W19">
        <f>W18+V19</f>
        <v/>
      </c>
    </row>
    <row r="20">
      <c r="A20" t="n">
        <v>17</v>
      </c>
      <c r="B20">
        <f>INT((A20-1)/12)+1</f>
        <v/>
      </c>
      <c r="C20">
        <f>ROUND(IF(MOD($A20,12)=0,G20,(IF(20=4,0,C19))*(1-$K20)+IF((IF(20=4,0,C19))*(1-$K20)&lt;G20,(G20-(IF(20=4,0,C19))*(1-$K20))*Hypothèses!$B$10,0)),1)</f>
        <v/>
      </c>
      <c r="D20">
        <f>ROUND(IF(MOD($A20,12)=0,H20,(IF(20=4,0,D19))*(1-$K20)+IF((IF(20=4,0,D19))*(1-$K20)&lt;H20,(H20-(IF(20=4,0,D19))*(1-$K20))*Hypothèses!$B$10,0)),1)</f>
        <v/>
      </c>
      <c r="E20">
        <f>ROUND(IF(MOD($A20,12)=0,I20,(IF(20=4,0,E19))*(1-$K20)+IF((IF(20=4,0,E19))*(1-$K20)&lt;I20,(I20-(IF(20=4,0,E19))*(1-$K20))*Hypothèses!$B$10,0)),1)</f>
        <v/>
      </c>
      <c r="F20">
        <f>ROUND(IF(MOD($A20,12)=0,J20,(IF(20=4,0,F19))*(1-$K20)+IF((IF(20=4,0,F19))*(1-$K20)&lt;J20,(J20-(IF(20=4,0,F19))*(1-$K20))*Hypothèses!$B$10,0)),1)</f>
        <v/>
      </c>
      <c r="G20">
        <f>(IF(B20=1,0,IF(B20=2,Hypothèses!$B$26,IF(B20=3,Hypothèses!$C$26,Hypothèses!$D$26)))+(IF(B20=1,Hypothèses!$B$26,IF(B20=2,Hypothèses!$C$26,IF(B20=3,Hypothèses!$D$26,Hypothèses!$D$26)))-(IF(B20=1,0,IF(B20=2,Hypothèses!$B$26,IF(B20=3,Hypothèses!$C$26,Hypothèses!$D$26)))))*((A20)-INT((A20-1)/12)*12)/12)*$B$1</f>
        <v/>
      </c>
      <c r="H20">
        <f>(IF(B20=1,0,IF(B20=2,Hypothèses!$B$27,IF(B20=3,Hypothèses!$C$27,Hypothèses!$D$27)))+(IF(B20=1,Hypothèses!$B$27,IF(B20=2,Hypothèses!$C$27,IF(B20=3,Hypothèses!$D$27,Hypothèses!$D$27)))-(IF(B20=1,0,IF(B20=2,Hypothèses!$B$27,IF(B20=3,Hypothèses!$C$27,Hypothèses!$D$27)))))*((A20)-INT((A20-1)/12)*12)/12)*$B$1</f>
        <v/>
      </c>
      <c r="I20">
        <f>(IF(B20=1,0,IF(B20=2,Hypothèses!$B$28,IF(B20=3,Hypothèses!$C$28,Hypothèses!$D$28)))+(IF(B20=1,Hypothèses!$B$28,IF(B20=2,Hypothèses!$C$28,IF(B20=3,Hypothèses!$D$28,Hypothèses!$D$28)))-(IF(B20=1,0,IF(B20=2,Hypothèses!$B$28,IF(B20=3,Hypothèses!$C$28,Hypothèses!$D$28)))))*((A20)-INT((A20-1)/12)*12)/12)*$B$1</f>
        <v/>
      </c>
      <c r="J20">
        <f>(IF(B20=1,0,IF(B20=2,Hypothèses!$B$29,IF(B20=3,Hypothèses!$C$29,Hypothèses!$D$29)))+(IF(B20=1,Hypothèses!$B$29,IF(B20=2,Hypothèses!$C$29,IF(B20=3,Hypothèses!$D$29,Hypothèses!$D$29)))-(IF(B20=1,0,IF(B20=2,Hypothèses!$B$29,IF(B20=3,Hypothèses!$C$29,Hypothèses!$D$29)))))*((A20)-INT((A20-1)/12)*12)/12)*$B$1</f>
        <v/>
      </c>
      <c r="K20">
        <f>IF(A20&lt;Hypothèses!$B$7,0,Hypothèses!$B$8*(1-Hypothèses!$B$9)^(A20-Hypothèses!$B$7))</f>
        <v/>
      </c>
      <c r="L20">
        <f>C20+D20+E20+F20</f>
        <v/>
      </c>
      <c r="M20">
        <f>(C20*Hypothèses!$B$11+D20*Hypothèses!$B$12+E20*Hypothèses!$B$13+F20*Hypothèses!$B$14)*(IF(B20=1,Hypothèses!$B$20,IF(B20=2,Hypothèses!$B$21,Hypothèses!$B$22))+(1-(IF(B20=1,Hypothèses!$B$20,IF(B20=2,Hypothèses!$B$21,Hypothèses!$B$22))))*11/12)</f>
        <v/>
      </c>
      <c r="N20">
        <f>L20*IF(B20=1,Hypothèses!$C$20,IF(B20=2,Hypothèses!$C$21,Hypothèses!$C$22))*IF(B20=1,Hypothèses!$D$20,IF(B20=2,Hypothèses!$D$21,Hypothèses!$D$22))</f>
        <v/>
      </c>
      <c r="O20">
        <f>IF(A20=18,IF($B$2&gt;=1,Hypothèses!$B$33,0),IF(AND(OR(A20=30,A20=34),$D$2&gt;=1),Hypothèses!$B$34*MIN(1,$D$2/3),0))</f>
        <v/>
      </c>
      <c r="P20">
        <f>M20+N20+O20</f>
        <v/>
      </c>
      <c r="Q20">
        <f>P20/(1+Hypothèses!$B$6)</f>
        <v/>
      </c>
      <c r="R20">
        <f>Hypothèses!$B$3*(1+Hypothèses!$B$4)^INT((A20-1)/3)</f>
        <v/>
      </c>
      <c r="S20">
        <f>IF($A20&lt;7,2,IF($A20&lt;13,3,IF($A20&lt;19,4,5)))</f>
        <v/>
      </c>
      <c r="T20">
        <f>S20*Hypothèses!$B$17</f>
        <v/>
      </c>
      <c r="U20">
        <f>Q20*Hypothèses!$B$5</f>
        <v/>
      </c>
      <c r="V20">
        <f>Q20-R20-T20-U20</f>
        <v/>
      </c>
      <c r="W20">
        <f>W19+V20</f>
        <v/>
      </c>
    </row>
    <row r="21">
      <c r="A21" t="n">
        <v>18</v>
      </c>
      <c r="B21">
        <f>INT((A21-1)/12)+1</f>
        <v/>
      </c>
      <c r="C21">
        <f>ROUND(IF(MOD($A21,12)=0,G21,(IF(21=4,0,C20))*(1-$K21)+IF((IF(21=4,0,C20))*(1-$K21)&lt;G21,(G21-(IF(21=4,0,C20))*(1-$K21))*Hypothèses!$B$10,0)),1)</f>
        <v/>
      </c>
      <c r="D21">
        <f>ROUND(IF(MOD($A21,12)=0,H21,(IF(21=4,0,D20))*(1-$K21)+IF((IF(21=4,0,D20))*(1-$K21)&lt;H21,(H21-(IF(21=4,0,D20))*(1-$K21))*Hypothèses!$B$10,0)),1)</f>
        <v/>
      </c>
      <c r="E21">
        <f>ROUND(IF(MOD($A21,12)=0,I21,(IF(21=4,0,E20))*(1-$K21)+IF((IF(21=4,0,E20))*(1-$K21)&lt;I21,(I21-(IF(21=4,0,E20))*(1-$K21))*Hypothèses!$B$10,0)),1)</f>
        <v/>
      </c>
      <c r="F21">
        <f>ROUND(IF(MOD($A21,12)=0,J21,(IF(21=4,0,F20))*(1-$K21)+IF((IF(21=4,0,F20))*(1-$K21)&lt;J21,(J21-(IF(21=4,0,F20))*(1-$K21))*Hypothèses!$B$10,0)),1)</f>
        <v/>
      </c>
      <c r="G21">
        <f>(IF(B21=1,0,IF(B21=2,Hypothèses!$B$26,IF(B21=3,Hypothèses!$C$26,Hypothèses!$D$26)))+(IF(B21=1,Hypothèses!$B$26,IF(B21=2,Hypothèses!$C$26,IF(B21=3,Hypothèses!$D$26,Hypothèses!$D$26)))-(IF(B21=1,0,IF(B21=2,Hypothèses!$B$26,IF(B21=3,Hypothèses!$C$26,Hypothèses!$D$26)))))*((A21)-INT((A21-1)/12)*12)/12)*$B$1</f>
        <v/>
      </c>
      <c r="H21">
        <f>(IF(B21=1,0,IF(B21=2,Hypothèses!$B$27,IF(B21=3,Hypothèses!$C$27,Hypothèses!$D$27)))+(IF(B21=1,Hypothèses!$B$27,IF(B21=2,Hypothèses!$C$27,IF(B21=3,Hypothèses!$D$27,Hypothèses!$D$27)))-(IF(B21=1,0,IF(B21=2,Hypothèses!$B$27,IF(B21=3,Hypothèses!$C$27,Hypothèses!$D$27)))))*((A21)-INT((A21-1)/12)*12)/12)*$B$1</f>
        <v/>
      </c>
      <c r="I21">
        <f>(IF(B21=1,0,IF(B21=2,Hypothèses!$B$28,IF(B21=3,Hypothèses!$C$28,Hypothèses!$D$28)))+(IF(B21=1,Hypothèses!$B$28,IF(B21=2,Hypothèses!$C$28,IF(B21=3,Hypothèses!$D$28,Hypothèses!$D$28)))-(IF(B21=1,0,IF(B21=2,Hypothèses!$B$28,IF(B21=3,Hypothèses!$C$28,Hypothèses!$D$28)))))*((A21)-INT((A21-1)/12)*12)/12)*$B$1</f>
        <v/>
      </c>
      <c r="J21">
        <f>(IF(B21=1,0,IF(B21=2,Hypothèses!$B$29,IF(B21=3,Hypothèses!$C$29,Hypothèses!$D$29)))+(IF(B21=1,Hypothèses!$B$29,IF(B21=2,Hypothèses!$C$29,IF(B21=3,Hypothèses!$D$29,Hypothèses!$D$29)))-(IF(B21=1,0,IF(B21=2,Hypothèses!$B$29,IF(B21=3,Hypothèses!$C$29,Hypothèses!$D$29)))))*((A21)-INT((A21-1)/12)*12)/12)*$B$1</f>
        <v/>
      </c>
      <c r="K21">
        <f>IF(A21&lt;Hypothèses!$B$7,0,Hypothèses!$B$8*(1-Hypothèses!$B$9)^(A21-Hypothèses!$B$7))</f>
        <v/>
      </c>
      <c r="L21">
        <f>C21+D21+E21+F21</f>
        <v/>
      </c>
      <c r="M21">
        <f>(C21*Hypothèses!$B$11+D21*Hypothèses!$B$12+E21*Hypothèses!$B$13+F21*Hypothèses!$B$14)*(IF(B21=1,Hypothèses!$B$20,IF(B21=2,Hypothèses!$B$21,Hypothèses!$B$22))+(1-(IF(B21=1,Hypothèses!$B$20,IF(B21=2,Hypothèses!$B$21,Hypothèses!$B$22))))*11/12)</f>
        <v/>
      </c>
      <c r="N21">
        <f>L21*IF(B21=1,Hypothèses!$C$20,IF(B21=2,Hypothèses!$C$21,Hypothèses!$C$22))*IF(B21=1,Hypothèses!$D$20,IF(B21=2,Hypothèses!$D$21,Hypothèses!$D$22))</f>
        <v/>
      </c>
      <c r="O21">
        <f>IF(A21=18,IF($B$2&gt;=1,Hypothèses!$B$33,0),IF(AND(OR(A21=30,A21=34),$D$2&gt;=1),Hypothèses!$B$34*MIN(1,$D$2/3),0))</f>
        <v/>
      </c>
      <c r="P21">
        <f>M21+N21+O21</f>
        <v/>
      </c>
      <c r="Q21">
        <f>P21/(1+Hypothèses!$B$6)</f>
        <v/>
      </c>
      <c r="R21">
        <f>Hypothèses!$B$3*(1+Hypothèses!$B$4)^INT((A21-1)/3)</f>
        <v/>
      </c>
      <c r="S21">
        <f>IF($A21&lt;7,2,IF($A21&lt;13,3,IF($A21&lt;19,4,5)))</f>
        <v/>
      </c>
      <c r="T21">
        <f>S21*Hypothèses!$B$17</f>
        <v/>
      </c>
      <c r="U21">
        <f>Q21*Hypothèses!$B$5</f>
        <v/>
      </c>
      <c r="V21">
        <f>Q21-R21-T21-U21</f>
        <v/>
      </c>
      <c r="W21">
        <f>W20+V21</f>
        <v/>
      </c>
    </row>
    <row r="22">
      <c r="A22" t="n">
        <v>19</v>
      </c>
      <c r="B22">
        <f>INT((A22-1)/12)+1</f>
        <v/>
      </c>
      <c r="C22">
        <f>ROUND(IF(MOD($A22,12)=0,G22,(IF(22=4,0,C21))*(1-$K22)+IF((IF(22=4,0,C21))*(1-$K22)&lt;G22,(G22-(IF(22=4,0,C21))*(1-$K22))*Hypothèses!$B$10,0)),1)</f>
        <v/>
      </c>
      <c r="D22">
        <f>ROUND(IF(MOD($A22,12)=0,H22,(IF(22=4,0,D21))*(1-$K22)+IF((IF(22=4,0,D21))*(1-$K22)&lt;H22,(H22-(IF(22=4,0,D21))*(1-$K22))*Hypothèses!$B$10,0)),1)</f>
        <v/>
      </c>
      <c r="E22">
        <f>ROUND(IF(MOD($A22,12)=0,I22,(IF(22=4,0,E21))*(1-$K22)+IF((IF(22=4,0,E21))*(1-$K22)&lt;I22,(I22-(IF(22=4,0,E21))*(1-$K22))*Hypothèses!$B$10,0)),1)</f>
        <v/>
      </c>
      <c r="F22">
        <f>ROUND(IF(MOD($A22,12)=0,J22,(IF(22=4,0,F21))*(1-$K22)+IF((IF(22=4,0,F21))*(1-$K22)&lt;J22,(J22-(IF(22=4,0,F21))*(1-$K22))*Hypothèses!$B$10,0)),1)</f>
        <v/>
      </c>
      <c r="G22">
        <f>(IF(B22=1,0,IF(B22=2,Hypothèses!$B$26,IF(B22=3,Hypothèses!$C$26,Hypothèses!$D$26)))+(IF(B22=1,Hypothèses!$B$26,IF(B22=2,Hypothèses!$C$26,IF(B22=3,Hypothèses!$D$26,Hypothèses!$D$26)))-(IF(B22=1,0,IF(B22=2,Hypothèses!$B$26,IF(B22=3,Hypothèses!$C$26,Hypothèses!$D$26)))))*((A22)-INT((A22-1)/12)*12)/12)*$B$1</f>
        <v/>
      </c>
      <c r="H22">
        <f>(IF(B22=1,0,IF(B22=2,Hypothèses!$B$27,IF(B22=3,Hypothèses!$C$27,Hypothèses!$D$27)))+(IF(B22=1,Hypothèses!$B$27,IF(B22=2,Hypothèses!$C$27,IF(B22=3,Hypothèses!$D$27,Hypothèses!$D$27)))-(IF(B22=1,0,IF(B22=2,Hypothèses!$B$27,IF(B22=3,Hypothèses!$C$27,Hypothèses!$D$27)))))*((A22)-INT((A22-1)/12)*12)/12)*$B$1</f>
        <v/>
      </c>
      <c r="I22">
        <f>(IF(B22=1,0,IF(B22=2,Hypothèses!$B$28,IF(B22=3,Hypothèses!$C$28,Hypothèses!$D$28)))+(IF(B22=1,Hypothèses!$B$28,IF(B22=2,Hypothèses!$C$28,IF(B22=3,Hypothèses!$D$28,Hypothèses!$D$28)))-(IF(B22=1,0,IF(B22=2,Hypothèses!$B$28,IF(B22=3,Hypothèses!$C$28,Hypothèses!$D$28)))))*((A22)-INT((A22-1)/12)*12)/12)*$B$1</f>
        <v/>
      </c>
      <c r="J22">
        <f>(IF(B22=1,0,IF(B22=2,Hypothèses!$B$29,IF(B22=3,Hypothèses!$C$29,Hypothèses!$D$29)))+(IF(B22=1,Hypothèses!$B$29,IF(B22=2,Hypothèses!$C$29,IF(B22=3,Hypothèses!$D$29,Hypothèses!$D$29)))-(IF(B22=1,0,IF(B22=2,Hypothèses!$B$29,IF(B22=3,Hypothèses!$C$29,Hypothèses!$D$29)))))*((A22)-INT((A22-1)/12)*12)/12)*$B$1</f>
        <v/>
      </c>
      <c r="K22">
        <f>IF(A22&lt;Hypothèses!$B$7,0,Hypothèses!$B$8*(1-Hypothèses!$B$9)^(A22-Hypothèses!$B$7))</f>
        <v/>
      </c>
      <c r="L22">
        <f>C22+D22+E22+F22</f>
        <v/>
      </c>
      <c r="M22">
        <f>(C22*Hypothèses!$B$11+D22*Hypothèses!$B$12+E22*Hypothèses!$B$13+F22*Hypothèses!$B$14)*(IF(B22=1,Hypothèses!$B$20,IF(B22=2,Hypothèses!$B$21,Hypothèses!$B$22))+(1-(IF(B22=1,Hypothèses!$B$20,IF(B22=2,Hypothèses!$B$21,Hypothèses!$B$22))))*11/12)</f>
        <v/>
      </c>
      <c r="N22">
        <f>L22*IF(B22=1,Hypothèses!$C$20,IF(B22=2,Hypothèses!$C$21,Hypothèses!$C$22))*IF(B22=1,Hypothèses!$D$20,IF(B22=2,Hypothèses!$D$21,Hypothèses!$D$22))</f>
        <v/>
      </c>
      <c r="O22">
        <f>IF(A22=18,IF($B$2&gt;=1,Hypothèses!$B$33,0),IF(AND(OR(A22=30,A22=34),$D$2&gt;=1),Hypothèses!$B$34*MIN(1,$D$2/3),0))</f>
        <v/>
      </c>
      <c r="P22">
        <f>M22+N22+O22</f>
        <v/>
      </c>
      <c r="Q22">
        <f>P22/(1+Hypothèses!$B$6)</f>
        <v/>
      </c>
      <c r="R22">
        <f>Hypothèses!$B$3*(1+Hypothèses!$B$4)^INT((A22-1)/3)</f>
        <v/>
      </c>
      <c r="S22">
        <f>IF($A22&lt;7,2,IF($A22&lt;13,3,IF($A22&lt;19,4,5)))</f>
        <v/>
      </c>
      <c r="T22">
        <f>S22*Hypothèses!$B$17</f>
        <v/>
      </c>
      <c r="U22">
        <f>Q22*Hypothèses!$B$5</f>
        <v/>
      </c>
      <c r="V22">
        <f>Q22-R22-T22-U22</f>
        <v/>
      </c>
      <c r="W22">
        <f>W21+V22</f>
        <v/>
      </c>
    </row>
    <row r="23">
      <c r="A23" t="n">
        <v>20</v>
      </c>
      <c r="B23">
        <f>INT((A23-1)/12)+1</f>
        <v/>
      </c>
      <c r="C23">
        <f>ROUND(IF(MOD($A23,12)=0,G23,(IF(23=4,0,C22))*(1-$K23)+IF((IF(23=4,0,C22))*(1-$K23)&lt;G23,(G23-(IF(23=4,0,C22))*(1-$K23))*Hypothèses!$B$10,0)),1)</f>
        <v/>
      </c>
      <c r="D23">
        <f>ROUND(IF(MOD($A23,12)=0,H23,(IF(23=4,0,D22))*(1-$K23)+IF((IF(23=4,0,D22))*(1-$K23)&lt;H23,(H23-(IF(23=4,0,D22))*(1-$K23))*Hypothèses!$B$10,0)),1)</f>
        <v/>
      </c>
      <c r="E23">
        <f>ROUND(IF(MOD($A23,12)=0,I23,(IF(23=4,0,E22))*(1-$K23)+IF((IF(23=4,0,E22))*(1-$K23)&lt;I23,(I23-(IF(23=4,0,E22))*(1-$K23))*Hypothèses!$B$10,0)),1)</f>
        <v/>
      </c>
      <c r="F23">
        <f>ROUND(IF(MOD($A23,12)=0,J23,(IF(23=4,0,F22))*(1-$K23)+IF((IF(23=4,0,F22))*(1-$K23)&lt;J23,(J23-(IF(23=4,0,F22))*(1-$K23))*Hypothèses!$B$10,0)),1)</f>
        <v/>
      </c>
      <c r="G23">
        <f>(IF(B23=1,0,IF(B23=2,Hypothèses!$B$26,IF(B23=3,Hypothèses!$C$26,Hypothèses!$D$26)))+(IF(B23=1,Hypothèses!$B$26,IF(B23=2,Hypothèses!$C$26,IF(B23=3,Hypothèses!$D$26,Hypothèses!$D$26)))-(IF(B23=1,0,IF(B23=2,Hypothèses!$B$26,IF(B23=3,Hypothèses!$C$26,Hypothèses!$D$26)))))*((A23)-INT((A23-1)/12)*12)/12)*$B$1</f>
        <v/>
      </c>
      <c r="H23">
        <f>(IF(B23=1,0,IF(B23=2,Hypothèses!$B$27,IF(B23=3,Hypothèses!$C$27,Hypothèses!$D$27)))+(IF(B23=1,Hypothèses!$B$27,IF(B23=2,Hypothèses!$C$27,IF(B23=3,Hypothèses!$D$27,Hypothèses!$D$27)))-(IF(B23=1,0,IF(B23=2,Hypothèses!$B$27,IF(B23=3,Hypothèses!$C$27,Hypothèses!$D$27)))))*((A23)-INT((A23-1)/12)*12)/12)*$B$1</f>
        <v/>
      </c>
      <c r="I23">
        <f>(IF(B23=1,0,IF(B23=2,Hypothèses!$B$28,IF(B23=3,Hypothèses!$C$28,Hypothèses!$D$28)))+(IF(B23=1,Hypothèses!$B$28,IF(B23=2,Hypothèses!$C$28,IF(B23=3,Hypothèses!$D$28,Hypothèses!$D$28)))-(IF(B23=1,0,IF(B23=2,Hypothèses!$B$28,IF(B23=3,Hypothèses!$C$28,Hypothèses!$D$28)))))*((A23)-INT((A23-1)/12)*12)/12)*$B$1</f>
        <v/>
      </c>
      <c r="J23">
        <f>(IF(B23=1,0,IF(B23=2,Hypothèses!$B$29,IF(B23=3,Hypothèses!$C$29,Hypothèses!$D$29)))+(IF(B23=1,Hypothèses!$B$29,IF(B23=2,Hypothèses!$C$29,IF(B23=3,Hypothèses!$D$29,Hypothèses!$D$29)))-(IF(B23=1,0,IF(B23=2,Hypothèses!$B$29,IF(B23=3,Hypothèses!$C$29,Hypothèses!$D$29)))))*((A23)-INT((A23-1)/12)*12)/12)*$B$1</f>
        <v/>
      </c>
      <c r="K23">
        <f>IF(A23&lt;Hypothèses!$B$7,0,Hypothèses!$B$8*(1-Hypothèses!$B$9)^(A23-Hypothèses!$B$7))</f>
        <v/>
      </c>
      <c r="L23">
        <f>C23+D23+E23+F23</f>
        <v/>
      </c>
      <c r="M23">
        <f>(C23*Hypothèses!$B$11+D23*Hypothèses!$B$12+E23*Hypothèses!$B$13+F23*Hypothèses!$B$14)*(IF(B23=1,Hypothèses!$B$20,IF(B23=2,Hypothèses!$B$21,Hypothèses!$B$22))+(1-(IF(B23=1,Hypothèses!$B$20,IF(B23=2,Hypothèses!$B$21,Hypothèses!$B$22))))*11/12)</f>
        <v/>
      </c>
      <c r="N23">
        <f>L23*IF(B23=1,Hypothèses!$C$20,IF(B23=2,Hypothèses!$C$21,Hypothèses!$C$22))*IF(B23=1,Hypothèses!$D$20,IF(B23=2,Hypothèses!$D$21,Hypothèses!$D$22))</f>
        <v/>
      </c>
      <c r="O23">
        <f>IF(A23=18,IF($B$2&gt;=1,Hypothèses!$B$33,0),IF(AND(OR(A23=30,A23=34),$D$2&gt;=1),Hypothèses!$B$34*MIN(1,$D$2/3),0))</f>
        <v/>
      </c>
      <c r="P23">
        <f>M23+N23+O23</f>
        <v/>
      </c>
      <c r="Q23">
        <f>P23/(1+Hypothèses!$B$6)</f>
        <v/>
      </c>
      <c r="R23">
        <f>Hypothèses!$B$3*(1+Hypothèses!$B$4)^INT((A23-1)/3)</f>
        <v/>
      </c>
      <c r="S23">
        <f>IF($A23&lt;7,2,IF($A23&lt;13,3,IF($A23&lt;19,4,5)))</f>
        <v/>
      </c>
      <c r="T23">
        <f>S23*Hypothèses!$B$17</f>
        <v/>
      </c>
      <c r="U23">
        <f>Q23*Hypothèses!$B$5</f>
        <v/>
      </c>
      <c r="V23">
        <f>Q23-R23-T23-U23</f>
        <v/>
      </c>
      <c r="W23">
        <f>W22+V23</f>
        <v/>
      </c>
    </row>
    <row r="24">
      <c r="A24" t="n">
        <v>21</v>
      </c>
      <c r="B24">
        <f>INT((A24-1)/12)+1</f>
        <v/>
      </c>
      <c r="C24">
        <f>ROUND(IF(MOD($A24,12)=0,G24,(IF(24=4,0,C23))*(1-$K24)+IF((IF(24=4,0,C23))*(1-$K24)&lt;G24,(G24-(IF(24=4,0,C23))*(1-$K24))*Hypothèses!$B$10,0)),1)</f>
        <v/>
      </c>
      <c r="D24">
        <f>ROUND(IF(MOD($A24,12)=0,H24,(IF(24=4,0,D23))*(1-$K24)+IF((IF(24=4,0,D23))*(1-$K24)&lt;H24,(H24-(IF(24=4,0,D23))*(1-$K24))*Hypothèses!$B$10,0)),1)</f>
        <v/>
      </c>
      <c r="E24">
        <f>ROUND(IF(MOD($A24,12)=0,I24,(IF(24=4,0,E23))*(1-$K24)+IF((IF(24=4,0,E23))*(1-$K24)&lt;I24,(I24-(IF(24=4,0,E23))*(1-$K24))*Hypothèses!$B$10,0)),1)</f>
        <v/>
      </c>
      <c r="F24">
        <f>ROUND(IF(MOD($A24,12)=0,J24,(IF(24=4,0,F23))*(1-$K24)+IF((IF(24=4,0,F23))*(1-$K24)&lt;J24,(J24-(IF(24=4,0,F23))*(1-$K24))*Hypothèses!$B$10,0)),1)</f>
        <v/>
      </c>
      <c r="G24">
        <f>(IF(B24=1,0,IF(B24=2,Hypothèses!$B$26,IF(B24=3,Hypothèses!$C$26,Hypothèses!$D$26)))+(IF(B24=1,Hypothèses!$B$26,IF(B24=2,Hypothèses!$C$26,IF(B24=3,Hypothèses!$D$26,Hypothèses!$D$26)))-(IF(B24=1,0,IF(B24=2,Hypothèses!$B$26,IF(B24=3,Hypothèses!$C$26,Hypothèses!$D$26)))))*((A24)-INT((A24-1)/12)*12)/12)*$B$1</f>
        <v/>
      </c>
      <c r="H24">
        <f>(IF(B24=1,0,IF(B24=2,Hypothèses!$B$27,IF(B24=3,Hypothèses!$C$27,Hypothèses!$D$27)))+(IF(B24=1,Hypothèses!$B$27,IF(B24=2,Hypothèses!$C$27,IF(B24=3,Hypothèses!$D$27,Hypothèses!$D$27)))-(IF(B24=1,0,IF(B24=2,Hypothèses!$B$27,IF(B24=3,Hypothèses!$C$27,Hypothèses!$D$27)))))*((A24)-INT((A24-1)/12)*12)/12)*$B$1</f>
        <v/>
      </c>
      <c r="I24">
        <f>(IF(B24=1,0,IF(B24=2,Hypothèses!$B$28,IF(B24=3,Hypothèses!$C$28,Hypothèses!$D$28)))+(IF(B24=1,Hypothèses!$B$28,IF(B24=2,Hypothèses!$C$28,IF(B24=3,Hypothèses!$D$28,Hypothèses!$D$28)))-(IF(B24=1,0,IF(B24=2,Hypothèses!$B$28,IF(B24=3,Hypothèses!$C$28,Hypothèses!$D$28)))))*((A24)-INT((A24-1)/12)*12)/12)*$B$1</f>
        <v/>
      </c>
      <c r="J24">
        <f>(IF(B24=1,0,IF(B24=2,Hypothèses!$B$29,IF(B24=3,Hypothèses!$C$29,Hypothèses!$D$29)))+(IF(B24=1,Hypothèses!$B$29,IF(B24=2,Hypothèses!$C$29,IF(B24=3,Hypothèses!$D$29,Hypothèses!$D$29)))-(IF(B24=1,0,IF(B24=2,Hypothèses!$B$29,IF(B24=3,Hypothèses!$C$29,Hypothèses!$D$29)))))*((A24)-INT((A24-1)/12)*12)/12)*$B$1</f>
        <v/>
      </c>
      <c r="K24">
        <f>IF(A24&lt;Hypothèses!$B$7,0,Hypothèses!$B$8*(1-Hypothèses!$B$9)^(A24-Hypothèses!$B$7))</f>
        <v/>
      </c>
      <c r="L24">
        <f>C24+D24+E24+F24</f>
        <v/>
      </c>
      <c r="M24">
        <f>(C24*Hypothèses!$B$11+D24*Hypothèses!$B$12+E24*Hypothèses!$B$13+F24*Hypothèses!$B$14)*(IF(B24=1,Hypothèses!$B$20,IF(B24=2,Hypothèses!$B$21,Hypothèses!$B$22))+(1-(IF(B24=1,Hypothèses!$B$20,IF(B24=2,Hypothèses!$B$21,Hypothèses!$B$22))))*11/12)</f>
        <v/>
      </c>
      <c r="N24">
        <f>L24*IF(B24=1,Hypothèses!$C$20,IF(B24=2,Hypothèses!$C$21,Hypothèses!$C$22))*IF(B24=1,Hypothèses!$D$20,IF(B24=2,Hypothèses!$D$21,Hypothèses!$D$22))</f>
        <v/>
      </c>
      <c r="O24">
        <f>IF(A24=18,IF($B$2&gt;=1,Hypothèses!$B$33,0),IF(AND(OR(A24=30,A24=34),$D$2&gt;=1),Hypothèses!$B$34*MIN(1,$D$2/3),0))</f>
        <v/>
      </c>
      <c r="P24">
        <f>M24+N24+O24</f>
        <v/>
      </c>
      <c r="Q24">
        <f>P24/(1+Hypothèses!$B$6)</f>
        <v/>
      </c>
      <c r="R24">
        <f>Hypothèses!$B$3*(1+Hypothèses!$B$4)^INT((A24-1)/3)</f>
        <v/>
      </c>
      <c r="S24">
        <f>IF($A24&lt;7,2,IF($A24&lt;13,3,IF($A24&lt;19,4,5)))</f>
        <v/>
      </c>
      <c r="T24">
        <f>S24*Hypothèses!$B$17</f>
        <v/>
      </c>
      <c r="U24">
        <f>Q24*Hypothèses!$B$5</f>
        <v/>
      </c>
      <c r="V24">
        <f>Q24-R24-T24-U24</f>
        <v/>
      </c>
      <c r="W24">
        <f>W23+V24</f>
        <v/>
      </c>
    </row>
    <row r="25">
      <c r="A25" t="n">
        <v>22</v>
      </c>
      <c r="B25">
        <f>INT((A25-1)/12)+1</f>
        <v/>
      </c>
      <c r="C25">
        <f>ROUND(IF(MOD($A25,12)=0,G25,(IF(25=4,0,C24))*(1-$K25)+IF((IF(25=4,0,C24))*(1-$K25)&lt;G25,(G25-(IF(25=4,0,C24))*(1-$K25))*Hypothèses!$B$10,0)),1)</f>
        <v/>
      </c>
      <c r="D25">
        <f>ROUND(IF(MOD($A25,12)=0,H25,(IF(25=4,0,D24))*(1-$K25)+IF((IF(25=4,0,D24))*(1-$K25)&lt;H25,(H25-(IF(25=4,0,D24))*(1-$K25))*Hypothèses!$B$10,0)),1)</f>
        <v/>
      </c>
      <c r="E25">
        <f>ROUND(IF(MOD($A25,12)=0,I25,(IF(25=4,0,E24))*(1-$K25)+IF((IF(25=4,0,E24))*(1-$K25)&lt;I25,(I25-(IF(25=4,0,E24))*(1-$K25))*Hypothèses!$B$10,0)),1)</f>
        <v/>
      </c>
      <c r="F25">
        <f>ROUND(IF(MOD($A25,12)=0,J25,(IF(25=4,0,F24))*(1-$K25)+IF((IF(25=4,0,F24))*(1-$K25)&lt;J25,(J25-(IF(25=4,0,F24))*(1-$K25))*Hypothèses!$B$10,0)),1)</f>
        <v/>
      </c>
      <c r="G25">
        <f>(IF(B25=1,0,IF(B25=2,Hypothèses!$B$26,IF(B25=3,Hypothèses!$C$26,Hypothèses!$D$26)))+(IF(B25=1,Hypothèses!$B$26,IF(B25=2,Hypothèses!$C$26,IF(B25=3,Hypothèses!$D$26,Hypothèses!$D$26)))-(IF(B25=1,0,IF(B25=2,Hypothèses!$B$26,IF(B25=3,Hypothèses!$C$26,Hypothèses!$D$26)))))*((A25)-INT((A25-1)/12)*12)/12)*$B$1</f>
        <v/>
      </c>
      <c r="H25">
        <f>(IF(B25=1,0,IF(B25=2,Hypothèses!$B$27,IF(B25=3,Hypothèses!$C$27,Hypothèses!$D$27)))+(IF(B25=1,Hypothèses!$B$27,IF(B25=2,Hypothèses!$C$27,IF(B25=3,Hypothèses!$D$27,Hypothèses!$D$27)))-(IF(B25=1,0,IF(B25=2,Hypothèses!$B$27,IF(B25=3,Hypothèses!$C$27,Hypothèses!$D$27)))))*((A25)-INT((A25-1)/12)*12)/12)*$B$1</f>
        <v/>
      </c>
      <c r="I25">
        <f>(IF(B25=1,0,IF(B25=2,Hypothèses!$B$28,IF(B25=3,Hypothèses!$C$28,Hypothèses!$D$28)))+(IF(B25=1,Hypothèses!$B$28,IF(B25=2,Hypothèses!$C$28,IF(B25=3,Hypothèses!$D$28,Hypothèses!$D$28)))-(IF(B25=1,0,IF(B25=2,Hypothèses!$B$28,IF(B25=3,Hypothèses!$C$28,Hypothèses!$D$28)))))*((A25)-INT((A25-1)/12)*12)/12)*$B$1</f>
        <v/>
      </c>
      <c r="J25">
        <f>(IF(B25=1,0,IF(B25=2,Hypothèses!$B$29,IF(B25=3,Hypothèses!$C$29,Hypothèses!$D$29)))+(IF(B25=1,Hypothèses!$B$29,IF(B25=2,Hypothèses!$C$29,IF(B25=3,Hypothèses!$D$29,Hypothèses!$D$29)))-(IF(B25=1,0,IF(B25=2,Hypothèses!$B$29,IF(B25=3,Hypothèses!$C$29,Hypothèses!$D$29)))))*((A25)-INT((A25-1)/12)*12)/12)*$B$1</f>
        <v/>
      </c>
      <c r="K25">
        <f>IF(A25&lt;Hypothèses!$B$7,0,Hypothèses!$B$8*(1-Hypothèses!$B$9)^(A25-Hypothèses!$B$7))</f>
        <v/>
      </c>
      <c r="L25">
        <f>C25+D25+E25+F25</f>
        <v/>
      </c>
      <c r="M25">
        <f>(C25*Hypothèses!$B$11+D25*Hypothèses!$B$12+E25*Hypothèses!$B$13+F25*Hypothèses!$B$14)*(IF(B25=1,Hypothèses!$B$20,IF(B25=2,Hypothèses!$B$21,Hypothèses!$B$22))+(1-(IF(B25=1,Hypothèses!$B$20,IF(B25=2,Hypothèses!$B$21,Hypothèses!$B$22))))*11/12)</f>
        <v/>
      </c>
      <c r="N25">
        <f>L25*IF(B25=1,Hypothèses!$C$20,IF(B25=2,Hypothèses!$C$21,Hypothèses!$C$22))*IF(B25=1,Hypothèses!$D$20,IF(B25=2,Hypothèses!$D$21,Hypothèses!$D$22))</f>
        <v/>
      </c>
      <c r="O25">
        <f>IF(A25=18,IF($B$2&gt;=1,Hypothèses!$B$33,0),IF(AND(OR(A25=30,A25=34),$D$2&gt;=1),Hypothèses!$B$34*MIN(1,$D$2/3),0))</f>
        <v/>
      </c>
      <c r="P25">
        <f>M25+N25+O25</f>
        <v/>
      </c>
      <c r="Q25">
        <f>P25/(1+Hypothèses!$B$6)</f>
        <v/>
      </c>
      <c r="R25">
        <f>Hypothèses!$B$3*(1+Hypothèses!$B$4)^INT((A25-1)/3)</f>
        <v/>
      </c>
      <c r="S25">
        <f>IF($A25&lt;7,2,IF($A25&lt;13,3,IF($A25&lt;19,4,5)))</f>
        <v/>
      </c>
      <c r="T25">
        <f>S25*Hypothèses!$B$17</f>
        <v/>
      </c>
      <c r="U25">
        <f>Q25*Hypothèses!$B$5</f>
        <v/>
      </c>
      <c r="V25">
        <f>Q25-R25-T25-U25</f>
        <v/>
      </c>
      <c r="W25">
        <f>W24+V25</f>
        <v/>
      </c>
    </row>
    <row r="26">
      <c r="A26" t="n">
        <v>23</v>
      </c>
      <c r="B26">
        <f>INT((A26-1)/12)+1</f>
        <v/>
      </c>
      <c r="C26">
        <f>ROUND(IF(MOD($A26,12)=0,G26,(IF(26=4,0,C25))*(1-$K26)+IF((IF(26=4,0,C25))*(1-$K26)&lt;G26,(G26-(IF(26=4,0,C25))*(1-$K26))*Hypothèses!$B$10,0)),1)</f>
        <v/>
      </c>
      <c r="D26">
        <f>ROUND(IF(MOD($A26,12)=0,H26,(IF(26=4,0,D25))*(1-$K26)+IF((IF(26=4,0,D25))*(1-$K26)&lt;H26,(H26-(IF(26=4,0,D25))*(1-$K26))*Hypothèses!$B$10,0)),1)</f>
        <v/>
      </c>
      <c r="E26">
        <f>ROUND(IF(MOD($A26,12)=0,I26,(IF(26=4,0,E25))*(1-$K26)+IF((IF(26=4,0,E25))*(1-$K26)&lt;I26,(I26-(IF(26=4,0,E25))*(1-$K26))*Hypothèses!$B$10,0)),1)</f>
        <v/>
      </c>
      <c r="F26">
        <f>ROUND(IF(MOD($A26,12)=0,J26,(IF(26=4,0,F25))*(1-$K26)+IF((IF(26=4,0,F25))*(1-$K26)&lt;J26,(J26-(IF(26=4,0,F25))*(1-$K26))*Hypothèses!$B$10,0)),1)</f>
        <v/>
      </c>
      <c r="G26">
        <f>(IF(B26=1,0,IF(B26=2,Hypothèses!$B$26,IF(B26=3,Hypothèses!$C$26,Hypothèses!$D$26)))+(IF(B26=1,Hypothèses!$B$26,IF(B26=2,Hypothèses!$C$26,IF(B26=3,Hypothèses!$D$26,Hypothèses!$D$26)))-(IF(B26=1,0,IF(B26=2,Hypothèses!$B$26,IF(B26=3,Hypothèses!$C$26,Hypothèses!$D$26)))))*((A26)-INT((A26-1)/12)*12)/12)*$B$1</f>
        <v/>
      </c>
      <c r="H26">
        <f>(IF(B26=1,0,IF(B26=2,Hypothèses!$B$27,IF(B26=3,Hypothèses!$C$27,Hypothèses!$D$27)))+(IF(B26=1,Hypothèses!$B$27,IF(B26=2,Hypothèses!$C$27,IF(B26=3,Hypothèses!$D$27,Hypothèses!$D$27)))-(IF(B26=1,0,IF(B26=2,Hypothèses!$B$27,IF(B26=3,Hypothèses!$C$27,Hypothèses!$D$27)))))*((A26)-INT((A26-1)/12)*12)/12)*$B$1</f>
        <v/>
      </c>
      <c r="I26">
        <f>(IF(B26=1,0,IF(B26=2,Hypothèses!$B$28,IF(B26=3,Hypothèses!$C$28,Hypothèses!$D$28)))+(IF(B26=1,Hypothèses!$B$28,IF(B26=2,Hypothèses!$C$28,IF(B26=3,Hypothèses!$D$28,Hypothèses!$D$28)))-(IF(B26=1,0,IF(B26=2,Hypothèses!$B$28,IF(B26=3,Hypothèses!$C$28,Hypothèses!$D$28)))))*((A26)-INT((A26-1)/12)*12)/12)*$B$1</f>
        <v/>
      </c>
      <c r="J26">
        <f>(IF(B26=1,0,IF(B26=2,Hypothèses!$B$29,IF(B26=3,Hypothèses!$C$29,Hypothèses!$D$29)))+(IF(B26=1,Hypothèses!$B$29,IF(B26=2,Hypothèses!$C$29,IF(B26=3,Hypothèses!$D$29,Hypothèses!$D$29)))-(IF(B26=1,0,IF(B26=2,Hypothèses!$B$29,IF(B26=3,Hypothèses!$C$29,Hypothèses!$D$29)))))*((A26)-INT((A26-1)/12)*12)/12)*$B$1</f>
        <v/>
      </c>
      <c r="K26">
        <f>IF(A26&lt;Hypothèses!$B$7,0,Hypothèses!$B$8*(1-Hypothèses!$B$9)^(A26-Hypothèses!$B$7))</f>
        <v/>
      </c>
      <c r="L26">
        <f>C26+D26+E26+F26</f>
        <v/>
      </c>
      <c r="M26">
        <f>(C26*Hypothèses!$B$11+D26*Hypothèses!$B$12+E26*Hypothèses!$B$13+F26*Hypothèses!$B$14)*(IF(B26=1,Hypothèses!$B$20,IF(B26=2,Hypothèses!$B$21,Hypothèses!$B$22))+(1-(IF(B26=1,Hypothèses!$B$20,IF(B26=2,Hypothèses!$B$21,Hypothèses!$B$22))))*11/12)</f>
        <v/>
      </c>
      <c r="N26">
        <f>L26*IF(B26=1,Hypothèses!$C$20,IF(B26=2,Hypothèses!$C$21,Hypothèses!$C$22))*IF(B26=1,Hypothèses!$D$20,IF(B26=2,Hypothèses!$D$21,Hypothèses!$D$22))</f>
        <v/>
      </c>
      <c r="O26">
        <f>IF(A26=18,IF($B$2&gt;=1,Hypothèses!$B$33,0),IF(AND(OR(A26=30,A26=34),$D$2&gt;=1),Hypothèses!$B$34*MIN(1,$D$2/3),0))</f>
        <v/>
      </c>
      <c r="P26">
        <f>M26+N26+O26</f>
        <v/>
      </c>
      <c r="Q26">
        <f>P26/(1+Hypothèses!$B$6)</f>
        <v/>
      </c>
      <c r="R26">
        <f>Hypothèses!$B$3*(1+Hypothèses!$B$4)^INT((A26-1)/3)</f>
        <v/>
      </c>
      <c r="S26">
        <f>IF($A26&lt;7,2,IF($A26&lt;13,3,IF($A26&lt;19,4,5)))</f>
        <v/>
      </c>
      <c r="T26">
        <f>S26*Hypothèses!$B$17</f>
        <v/>
      </c>
      <c r="U26">
        <f>Q26*Hypothèses!$B$5</f>
        <v/>
      </c>
      <c r="V26">
        <f>Q26-R26-T26-U26</f>
        <v/>
      </c>
      <c r="W26">
        <f>W25+V26</f>
        <v/>
      </c>
    </row>
    <row r="27">
      <c r="A27" t="n">
        <v>24</v>
      </c>
      <c r="B27">
        <f>INT((A27-1)/12)+1</f>
        <v/>
      </c>
      <c r="C27">
        <f>ROUND(IF(MOD($A27,12)=0,G27,(IF(27=4,0,C26))*(1-$K27)+IF((IF(27=4,0,C26))*(1-$K27)&lt;G27,(G27-(IF(27=4,0,C26))*(1-$K27))*Hypothèses!$B$10,0)),1)</f>
        <v/>
      </c>
      <c r="D27">
        <f>ROUND(IF(MOD($A27,12)=0,H27,(IF(27=4,0,D26))*(1-$K27)+IF((IF(27=4,0,D26))*(1-$K27)&lt;H27,(H27-(IF(27=4,0,D26))*(1-$K27))*Hypothèses!$B$10,0)),1)</f>
        <v/>
      </c>
      <c r="E27">
        <f>ROUND(IF(MOD($A27,12)=0,I27,(IF(27=4,0,E26))*(1-$K27)+IF((IF(27=4,0,E26))*(1-$K27)&lt;I27,(I27-(IF(27=4,0,E26))*(1-$K27))*Hypothèses!$B$10,0)),1)</f>
        <v/>
      </c>
      <c r="F27">
        <f>ROUND(IF(MOD($A27,12)=0,J27,(IF(27=4,0,F26))*(1-$K27)+IF((IF(27=4,0,F26))*(1-$K27)&lt;J27,(J27-(IF(27=4,0,F26))*(1-$K27))*Hypothèses!$B$10,0)),1)</f>
        <v/>
      </c>
      <c r="G27">
        <f>(IF(B27=1,0,IF(B27=2,Hypothèses!$B$26,IF(B27=3,Hypothèses!$C$26,Hypothèses!$D$26)))+(IF(B27=1,Hypothèses!$B$26,IF(B27=2,Hypothèses!$C$26,IF(B27=3,Hypothèses!$D$26,Hypothèses!$D$26)))-(IF(B27=1,0,IF(B27=2,Hypothèses!$B$26,IF(B27=3,Hypothèses!$C$26,Hypothèses!$D$26)))))*((A27)-INT((A27-1)/12)*12)/12)*$B$1</f>
        <v/>
      </c>
      <c r="H27">
        <f>(IF(B27=1,0,IF(B27=2,Hypothèses!$B$27,IF(B27=3,Hypothèses!$C$27,Hypothèses!$D$27)))+(IF(B27=1,Hypothèses!$B$27,IF(B27=2,Hypothèses!$C$27,IF(B27=3,Hypothèses!$D$27,Hypothèses!$D$27)))-(IF(B27=1,0,IF(B27=2,Hypothèses!$B$27,IF(B27=3,Hypothèses!$C$27,Hypothèses!$D$27)))))*((A27)-INT((A27-1)/12)*12)/12)*$B$1</f>
        <v/>
      </c>
      <c r="I27">
        <f>(IF(B27=1,0,IF(B27=2,Hypothèses!$B$28,IF(B27=3,Hypothèses!$C$28,Hypothèses!$D$28)))+(IF(B27=1,Hypothèses!$B$28,IF(B27=2,Hypothèses!$C$28,IF(B27=3,Hypothèses!$D$28,Hypothèses!$D$28)))-(IF(B27=1,0,IF(B27=2,Hypothèses!$B$28,IF(B27=3,Hypothèses!$C$28,Hypothèses!$D$28)))))*((A27)-INT((A27-1)/12)*12)/12)*$B$1</f>
        <v/>
      </c>
      <c r="J27">
        <f>(IF(B27=1,0,IF(B27=2,Hypothèses!$B$29,IF(B27=3,Hypothèses!$C$29,Hypothèses!$D$29)))+(IF(B27=1,Hypothèses!$B$29,IF(B27=2,Hypothèses!$C$29,IF(B27=3,Hypothèses!$D$29,Hypothèses!$D$29)))-(IF(B27=1,0,IF(B27=2,Hypothèses!$B$29,IF(B27=3,Hypothèses!$C$29,Hypothèses!$D$29)))))*((A27)-INT((A27-1)/12)*12)/12)*$B$1</f>
        <v/>
      </c>
      <c r="K27">
        <f>IF(A27&lt;Hypothèses!$B$7,0,Hypothèses!$B$8*(1-Hypothèses!$B$9)^(A27-Hypothèses!$B$7))</f>
        <v/>
      </c>
      <c r="L27">
        <f>C27+D27+E27+F27</f>
        <v/>
      </c>
      <c r="M27">
        <f>(C27*Hypothèses!$B$11+D27*Hypothèses!$B$12+E27*Hypothèses!$B$13+F27*Hypothèses!$B$14)*(IF(B27=1,Hypothèses!$B$20,IF(B27=2,Hypothèses!$B$21,Hypothèses!$B$22))+(1-(IF(B27=1,Hypothèses!$B$20,IF(B27=2,Hypothèses!$B$21,Hypothèses!$B$22))))*11/12)</f>
        <v/>
      </c>
      <c r="N27">
        <f>L27*IF(B27=1,Hypothèses!$C$20,IF(B27=2,Hypothèses!$C$21,Hypothèses!$C$22))*IF(B27=1,Hypothèses!$D$20,IF(B27=2,Hypothèses!$D$21,Hypothèses!$D$22))</f>
        <v/>
      </c>
      <c r="O27">
        <f>IF(A27=18,IF($B$2&gt;=1,Hypothèses!$B$33,0),IF(AND(OR(A27=30,A27=34),$D$2&gt;=1),Hypothèses!$B$34*MIN(1,$D$2/3),0))</f>
        <v/>
      </c>
      <c r="P27">
        <f>M27+N27+O27</f>
        <v/>
      </c>
      <c r="Q27">
        <f>P27/(1+Hypothèses!$B$6)</f>
        <v/>
      </c>
      <c r="R27">
        <f>Hypothèses!$B$3*(1+Hypothèses!$B$4)^INT((A27-1)/3)</f>
        <v/>
      </c>
      <c r="S27">
        <f>IF($A27&lt;7,2,IF($A27&lt;13,3,IF($A27&lt;19,4,5)))</f>
        <v/>
      </c>
      <c r="T27">
        <f>S27*Hypothèses!$B$17</f>
        <v/>
      </c>
      <c r="U27">
        <f>Q27*Hypothèses!$B$5</f>
        <v/>
      </c>
      <c r="V27">
        <f>Q27-R27-T27-U27</f>
        <v/>
      </c>
      <c r="W27">
        <f>W26+V27</f>
        <v/>
      </c>
    </row>
    <row r="28">
      <c r="A28" t="n">
        <v>25</v>
      </c>
      <c r="B28">
        <f>INT((A28-1)/12)+1</f>
        <v/>
      </c>
      <c r="C28">
        <f>ROUND(IF(MOD($A28,12)=0,G28,(IF(28=4,0,C27))*(1-$K28)+IF((IF(28=4,0,C27))*(1-$K28)&lt;G28,(G28-(IF(28=4,0,C27))*(1-$K28))*Hypothèses!$B$10,0)),1)</f>
        <v/>
      </c>
      <c r="D28">
        <f>ROUND(IF(MOD($A28,12)=0,H28,(IF(28=4,0,D27))*(1-$K28)+IF((IF(28=4,0,D27))*(1-$K28)&lt;H28,(H28-(IF(28=4,0,D27))*(1-$K28))*Hypothèses!$B$10,0)),1)</f>
        <v/>
      </c>
      <c r="E28">
        <f>ROUND(IF(MOD($A28,12)=0,I28,(IF(28=4,0,E27))*(1-$K28)+IF((IF(28=4,0,E27))*(1-$K28)&lt;I28,(I28-(IF(28=4,0,E27))*(1-$K28))*Hypothèses!$B$10,0)),1)</f>
        <v/>
      </c>
      <c r="F28">
        <f>ROUND(IF(MOD($A28,12)=0,J28,(IF(28=4,0,F27))*(1-$K28)+IF((IF(28=4,0,F27))*(1-$K28)&lt;J28,(J28-(IF(28=4,0,F27))*(1-$K28))*Hypothèses!$B$10,0)),1)</f>
        <v/>
      </c>
      <c r="G28">
        <f>(IF(B28=1,0,IF(B28=2,Hypothèses!$B$26,IF(B28=3,Hypothèses!$C$26,Hypothèses!$D$26)))+(IF(B28=1,Hypothèses!$B$26,IF(B28=2,Hypothèses!$C$26,IF(B28=3,Hypothèses!$D$26,Hypothèses!$D$26)))-(IF(B28=1,0,IF(B28=2,Hypothèses!$B$26,IF(B28=3,Hypothèses!$C$26,Hypothèses!$D$26)))))*((A28)-INT((A28-1)/12)*12)/12)*$B$1</f>
        <v/>
      </c>
      <c r="H28">
        <f>(IF(B28=1,0,IF(B28=2,Hypothèses!$B$27,IF(B28=3,Hypothèses!$C$27,Hypothèses!$D$27)))+(IF(B28=1,Hypothèses!$B$27,IF(B28=2,Hypothèses!$C$27,IF(B28=3,Hypothèses!$D$27,Hypothèses!$D$27)))-(IF(B28=1,0,IF(B28=2,Hypothèses!$B$27,IF(B28=3,Hypothèses!$C$27,Hypothèses!$D$27)))))*((A28)-INT((A28-1)/12)*12)/12)*$B$1</f>
        <v/>
      </c>
      <c r="I28">
        <f>(IF(B28=1,0,IF(B28=2,Hypothèses!$B$28,IF(B28=3,Hypothèses!$C$28,Hypothèses!$D$28)))+(IF(B28=1,Hypothèses!$B$28,IF(B28=2,Hypothèses!$C$28,IF(B28=3,Hypothèses!$D$28,Hypothèses!$D$28)))-(IF(B28=1,0,IF(B28=2,Hypothèses!$B$28,IF(B28=3,Hypothèses!$C$28,Hypothèses!$D$28)))))*((A28)-INT((A28-1)/12)*12)/12)*$B$1</f>
        <v/>
      </c>
      <c r="J28">
        <f>(IF(B28=1,0,IF(B28=2,Hypothèses!$B$29,IF(B28=3,Hypothèses!$C$29,Hypothèses!$D$29)))+(IF(B28=1,Hypothèses!$B$29,IF(B28=2,Hypothèses!$C$29,IF(B28=3,Hypothèses!$D$29,Hypothèses!$D$29)))-(IF(B28=1,0,IF(B28=2,Hypothèses!$B$29,IF(B28=3,Hypothèses!$C$29,Hypothèses!$D$29)))))*((A28)-INT((A28-1)/12)*12)/12)*$B$1</f>
        <v/>
      </c>
      <c r="K28">
        <f>IF(A28&lt;Hypothèses!$B$7,0,Hypothèses!$B$8*(1-Hypothèses!$B$9)^(A28-Hypothèses!$B$7))</f>
        <v/>
      </c>
      <c r="L28">
        <f>C28+D28+E28+F28</f>
        <v/>
      </c>
      <c r="M28">
        <f>(C28*Hypothèses!$B$11+D28*Hypothèses!$B$12+E28*Hypothèses!$B$13+F28*Hypothèses!$B$14)*(IF(B28=1,Hypothèses!$B$20,IF(B28=2,Hypothèses!$B$21,Hypothèses!$B$22))+(1-(IF(B28=1,Hypothèses!$B$20,IF(B28=2,Hypothèses!$B$21,Hypothèses!$B$22))))*11/12)</f>
        <v/>
      </c>
      <c r="N28">
        <f>L28*IF(B28=1,Hypothèses!$C$20,IF(B28=2,Hypothèses!$C$21,Hypothèses!$C$22))*IF(B28=1,Hypothèses!$D$20,IF(B28=2,Hypothèses!$D$21,Hypothèses!$D$22))</f>
        <v/>
      </c>
      <c r="O28">
        <f>IF(A28=18,IF($B$2&gt;=1,Hypothèses!$B$33,0),IF(AND(OR(A28=30,A28=34),$D$2&gt;=1),Hypothèses!$B$34*MIN(1,$D$2/3),0))</f>
        <v/>
      </c>
      <c r="P28">
        <f>M28+N28+O28</f>
        <v/>
      </c>
      <c r="Q28">
        <f>P28/(1+Hypothèses!$B$6)</f>
        <v/>
      </c>
      <c r="R28">
        <f>Hypothèses!$B$3*(1+Hypothèses!$B$4)^INT((A28-1)/3)</f>
        <v/>
      </c>
      <c r="S28">
        <f>IF($A28&lt;7,2,IF($A28&lt;13,3,IF($A28&lt;19,4,5)))</f>
        <v/>
      </c>
      <c r="T28">
        <f>S28*Hypothèses!$B$17</f>
        <v/>
      </c>
      <c r="U28">
        <f>Q28*Hypothèses!$B$5</f>
        <v/>
      </c>
      <c r="V28">
        <f>Q28-R28-T28-U28</f>
        <v/>
      </c>
      <c r="W28">
        <f>W27+V28</f>
        <v/>
      </c>
    </row>
    <row r="29">
      <c r="A29" t="n">
        <v>26</v>
      </c>
      <c r="B29">
        <f>INT((A29-1)/12)+1</f>
        <v/>
      </c>
      <c r="C29">
        <f>ROUND(IF(MOD($A29,12)=0,G29,(IF(29=4,0,C28))*(1-$K29)+IF((IF(29=4,0,C28))*(1-$K29)&lt;G29,(G29-(IF(29=4,0,C28))*(1-$K29))*Hypothèses!$B$10,0)),1)</f>
        <v/>
      </c>
      <c r="D29">
        <f>ROUND(IF(MOD($A29,12)=0,H29,(IF(29=4,0,D28))*(1-$K29)+IF((IF(29=4,0,D28))*(1-$K29)&lt;H29,(H29-(IF(29=4,0,D28))*(1-$K29))*Hypothèses!$B$10,0)),1)</f>
        <v/>
      </c>
      <c r="E29">
        <f>ROUND(IF(MOD($A29,12)=0,I29,(IF(29=4,0,E28))*(1-$K29)+IF((IF(29=4,0,E28))*(1-$K29)&lt;I29,(I29-(IF(29=4,0,E28))*(1-$K29))*Hypothèses!$B$10,0)),1)</f>
        <v/>
      </c>
      <c r="F29">
        <f>ROUND(IF(MOD($A29,12)=0,J29,(IF(29=4,0,F28))*(1-$K29)+IF((IF(29=4,0,F28))*(1-$K29)&lt;J29,(J29-(IF(29=4,0,F28))*(1-$K29))*Hypothèses!$B$10,0)),1)</f>
        <v/>
      </c>
      <c r="G29">
        <f>(IF(B29=1,0,IF(B29=2,Hypothèses!$B$26,IF(B29=3,Hypothèses!$C$26,Hypothèses!$D$26)))+(IF(B29=1,Hypothèses!$B$26,IF(B29=2,Hypothèses!$C$26,IF(B29=3,Hypothèses!$D$26,Hypothèses!$D$26)))-(IF(B29=1,0,IF(B29=2,Hypothèses!$B$26,IF(B29=3,Hypothèses!$C$26,Hypothèses!$D$26)))))*((A29)-INT((A29-1)/12)*12)/12)*$B$1</f>
        <v/>
      </c>
      <c r="H29">
        <f>(IF(B29=1,0,IF(B29=2,Hypothèses!$B$27,IF(B29=3,Hypothèses!$C$27,Hypothèses!$D$27)))+(IF(B29=1,Hypothèses!$B$27,IF(B29=2,Hypothèses!$C$27,IF(B29=3,Hypothèses!$D$27,Hypothèses!$D$27)))-(IF(B29=1,0,IF(B29=2,Hypothèses!$B$27,IF(B29=3,Hypothèses!$C$27,Hypothèses!$D$27)))))*((A29)-INT((A29-1)/12)*12)/12)*$B$1</f>
        <v/>
      </c>
      <c r="I29">
        <f>(IF(B29=1,0,IF(B29=2,Hypothèses!$B$28,IF(B29=3,Hypothèses!$C$28,Hypothèses!$D$28)))+(IF(B29=1,Hypothèses!$B$28,IF(B29=2,Hypothèses!$C$28,IF(B29=3,Hypothèses!$D$28,Hypothèses!$D$28)))-(IF(B29=1,0,IF(B29=2,Hypothèses!$B$28,IF(B29=3,Hypothèses!$C$28,Hypothèses!$D$28)))))*((A29)-INT((A29-1)/12)*12)/12)*$B$1</f>
        <v/>
      </c>
      <c r="J29">
        <f>(IF(B29=1,0,IF(B29=2,Hypothèses!$B$29,IF(B29=3,Hypothèses!$C$29,Hypothèses!$D$29)))+(IF(B29=1,Hypothèses!$B$29,IF(B29=2,Hypothèses!$C$29,IF(B29=3,Hypothèses!$D$29,Hypothèses!$D$29)))-(IF(B29=1,0,IF(B29=2,Hypothèses!$B$29,IF(B29=3,Hypothèses!$C$29,Hypothèses!$D$29)))))*((A29)-INT((A29-1)/12)*12)/12)*$B$1</f>
        <v/>
      </c>
      <c r="K29">
        <f>IF(A29&lt;Hypothèses!$B$7,0,Hypothèses!$B$8*(1-Hypothèses!$B$9)^(A29-Hypothèses!$B$7))</f>
        <v/>
      </c>
      <c r="L29">
        <f>C29+D29+E29+F29</f>
        <v/>
      </c>
      <c r="M29">
        <f>(C29*Hypothèses!$B$11+D29*Hypothèses!$B$12+E29*Hypothèses!$B$13+F29*Hypothèses!$B$14)*(IF(B29=1,Hypothèses!$B$20,IF(B29=2,Hypothèses!$B$21,Hypothèses!$B$22))+(1-(IF(B29=1,Hypothèses!$B$20,IF(B29=2,Hypothèses!$B$21,Hypothèses!$B$22))))*11/12)</f>
        <v/>
      </c>
      <c r="N29">
        <f>L29*IF(B29=1,Hypothèses!$C$20,IF(B29=2,Hypothèses!$C$21,Hypothèses!$C$22))*IF(B29=1,Hypothèses!$D$20,IF(B29=2,Hypothèses!$D$21,Hypothèses!$D$22))</f>
        <v/>
      </c>
      <c r="O29">
        <f>IF(A29=18,IF($B$2&gt;=1,Hypothèses!$B$33,0),IF(AND(OR(A29=30,A29=34),$D$2&gt;=1),Hypothèses!$B$34*MIN(1,$D$2/3),0))</f>
        <v/>
      </c>
      <c r="P29">
        <f>M29+N29+O29</f>
        <v/>
      </c>
      <c r="Q29">
        <f>P29/(1+Hypothèses!$B$6)</f>
        <v/>
      </c>
      <c r="R29">
        <f>Hypothèses!$B$3*(1+Hypothèses!$B$4)^INT((A29-1)/3)</f>
        <v/>
      </c>
      <c r="S29">
        <f>IF($A29&lt;7,2,IF($A29&lt;13,3,IF($A29&lt;19,4,5)))</f>
        <v/>
      </c>
      <c r="T29">
        <f>S29*Hypothèses!$B$17</f>
        <v/>
      </c>
      <c r="U29">
        <f>Q29*Hypothèses!$B$5</f>
        <v/>
      </c>
      <c r="V29">
        <f>Q29-R29-T29-U29</f>
        <v/>
      </c>
      <c r="W29">
        <f>W28+V29</f>
        <v/>
      </c>
    </row>
    <row r="30">
      <c r="A30" t="n">
        <v>27</v>
      </c>
      <c r="B30">
        <f>INT((A30-1)/12)+1</f>
        <v/>
      </c>
      <c r="C30">
        <f>ROUND(IF(MOD($A30,12)=0,G30,(IF(30=4,0,C29))*(1-$K30)+IF((IF(30=4,0,C29))*(1-$K30)&lt;G30,(G30-(IF(30=4,0,C29))*(1-$K30))*Hypothèses!$B$10,0)),1)</f>
        <v/>
      </c>
      <c r="D30">
        <f>ROUND(IF(MOD($A30,12)=0,H30,(IF(30=4,0,D29))*(1-$K30)+IF((IF(30=4,0,D29))*(1-$K30)&lt;H30,(H30-(IF(30=4,0,D29))*(1-$K30))*Hypothèses!$B$10,0)),1)</f>
        <v/>
      </c>
      <c r="E30">
        <f>ROUND(IF(MOD($A30,12)=0,I30,(IF(30=4,0,E29))*(1-$K30)+IF((IF(30=4,0,E29))*(1-$K30)&lt;I30,(I30-(IF(30=4,0,E29))*(1-$K30))*Hypothèses!$B$10,0)),1)</f>
        <v/>
      </c>
      <c r="F30">
        <f>ROUND(IF(MOD($A30,12)=0,J30,(IF(30=4,0,F29))*(1-$K30)+IF((IF(30=4,0,F29))*(1-$K30)&lt;J30,(J30-(IF(30=4,0,F29))*(1-$K30))*Hypothèses!$B$10,0)),1)</f>
        <v/>
      </c>
      <c r="G30">
        <f>(IF(B30=1,0,IF(B30=2,Hypothèses!$B$26,IF(B30=3,Hypothèses!$C$26,Hypothèses!$D$26)))+(IF(B30=1,Hypothèses!$B$26,IF(B30=2,Hypothèses!$C$26,IF(B30=3,Hypothèses!$D$26,Hypothèses!$D$26)))-(IF(B30=1,0,IF(B30=2,Hypothèses!$B$26,IF(B30=3,Hypothèses!$C$26,Hypothèses!$D$26)))))*((A30)-INT((A30-1)/12)*12)/12)*$B$1</f>
        <v/>
      </c>
      <c r="H30">
        <f>(IF(B30=1,0,IF(B30=2,Hypothèses!$B$27,IF(B30=3,Hypothèses!$C$27,Hypothèses!$D$27)))+(IF(B30=1,Hypothèses!$B$27,IF(B30=2,Hypothèses!$C$27,IF(B30=3,Hypothèses!$D$27,Hypothèses!$D$27)))-(IF(B30=1,0,IF(B30=2,Hypothèses!$B$27,IF(B30=3,Hypothèses!$C$27,Hypothèses!$D$27)))))*((A30)-INT((A30-1)/12)*12)/12)*$B$1</f>
        <v/>
      </c>
      <c r="I30">
        <f>(IF(B30=1,0,IF(B30=2,Hypothèses!$B$28,IF(B30=3,Hypothèses!$C$28,Hypothèses!$D$28)))+(IF(B30=1,Hypothèses!$B$28,IF(B30=2,Hypothèses!$C$28,IF(B30=3,Hypothèses!$D$28,Hypothèses!$D$28)))-(IF(B30=1,0,IF(B30=2,Hypothèses!$B$28,IF(B30=3,Hypothèses!$C$28,Hypothèses!$D$28)))))*((A30)-INT((A30-1)/12)*12)/12)*$B$1</f>
        <v/>
      </c>
      <c r="J30">
        <f>(IF(B30=1,0,IF(B30=2,Hypothèses!$B$29,IF(B30=3,Hypothèses!$C$29,Hypothèses!$D$29)))+(IF(B30=1,Hypothèses!$B$29,IF(B30=2,Hypothèses!$C$29,IF(B30=3,Hypothèses!$D$29,Hypothèses!$D$29)))-(IF(B30=1,0,IF(B30=2,Hypothèses!$B$29,IF(B30=3,Hypothèses!$C$29,Hypothèses!$D$29)))))*((A30)-INT((A30-1)/12)*12)/12)*$B$1</f>
        <v/>
      </c>
      <c r="K30">
        <f>IF(A30&lt;Hypothèses!$B$7,0,Hypothèses!$B$8*(1-Hypothèses!$B$9)^(A30-Hypothèses!$B$7))</f>
        <v/>
      </c>
      <c r="L30">
        <f>C30+D30+E30+F30</f>
        <v/>
      </c>
      <c r="M30">
        <f>(C30*Hypothèses!$B$11+D30*Hypothèses!$B$12+E30*Hypothèses!$B$13+F30*Hypothèses!$B$14)*(IF(B30=1,Hypothèses!$B$20,IF(B30=2,Hypothèses!$B$21,Hypothèses!$B$22))+(1-(IF(B30=1,Hypothèses!$B$20,IF(B30=2,Hypothèses!$B$21,Hypothèses!$B$22))))*11/12)</f>
        <v/>
      </c>
      <c r="N30">
        <f>L30*IF(B30=1,Hypothèses!$C$20,IF(B30=2,Hypothèses!$C$21,Hypothèses!$C$22))*IF(B30=1,Hypothèses!$D$20,IF(B30=2,Hypothèses!$D$21,Hypothèses!$D$22))</f>
        <v/>
      </c>
      <c r="O30">
        <f>IF(A30=18,IF($B$2&gt;=1,Hypothèses!$B$33,0),IF(AND(OR(A30=30,A30=34),$D$2&gt;=1),Hypothèses!$B$34*MIN(1,$D$2/3),0))</f>
        <v/>
      </c>
      <c r="P30">
        <f>M30+N30+O30</f>
        <v/>
      </c>
      <c r="Q30">
        <f>P30/(1+Hypothèses!$B$6)</f>
        <v/>
      </c>
      <c r="R30">
        <f>Hypothèses!$B$3*(1+Hypothèses!$B$4)^INT((A30-1)/3)</f>
        <v/>
      </c>
      <c r="S30">
        <f>IF($A30&lt;7,2,IF($A30&lt;13,3,IF($A30&lt;19,4,5)))</f>
        <v/>
      </c>
      <c r="T30">
        <f>S30*Hypothèses!$B$17</f>
        <v/>
      </c>
      <c r="U30">
        <f>Q30*Hypothèses!$B$5</f>
        <v/>
      </c>
      <c r="V30">
        <f>Q30-R30-T30-U30</f>
        <v/>
      </c>
      <c r="W30">
        <f>W29+V30</f>
        <v/>
      </c>
    </row>
    <row r="31">
      <c r="A31" t="n">
        <v>28</v>
      </c>
      <c r="B31">
        <f>INT((A31-1)/12)+1</f>
        <v/>
      </c>
      <c r="C31">
        <f>ROUND(IF(MOD($A31,12)=0,G31,(IF(31=4,0,C30))*(1-$K31)+IF((IF(31=4,0,C30))*(1-$K31)&lt;G31,(G31-(IF(31=4,0,C30))*(1-$K31))*Hypothèses!$B$10,0)),1)</f>
        <v/>
      </c>
      <c r="D31">
        <f>ROUND(IF(MOD($A31,12)=0,H31,(IF(31=4,0,D30))*(1-$K31)+IF((IF(31=4,0,D30))*(1-$K31)&lt;H31,(H31-(IF(31=4,0,D30))*(1-$K31))*Hypothèses!$B$10,0)),1)</f>
        <v/>
      </c>
      <c r="E31">
        <f>ROUND(IF(MOD($A31,12)=0,I31,(IF(31=4,0,E30))*(1-$K31)+IF((IF(31=4,0,E30))*(1-$K31)&lt;I31,(I31-(IF(31=4,0,E30))*(1-$K31))*Hypothèses!$B$10,0)),1)</f>
        <v/>
      </c>
      <c r="F31">
        <f>ROUND(IF(MOD($A31,12)=0,J31,(IF(31=4,0,F30))*(1-$K31)+IF((IF(31=4,0,F30))*(1-$K31)&lt;J31,(J31-(IF(31=4,0,F30))*(1-$K31))*Hypothèses!$B$10,0)),1)</f>
        <v/>
      </c>
      <c r="G31">
        <f>(IF(B31=1,0,IF(B31=2,Hypothèses!$B$26,IF(B31=3,Hypothèses!$C$26,Hypothèses!$D$26)))+(IF(B31=1,Hypothèses!$B$26,IF(B31=2,Hypothèses!$C$26,IF(B31=3,Hypothèses!$D$26,Hypothèses!$D$26)))-(IF(B31=1,0,IF(B31=2,Hypothèses!$B$26,IF(B31=3,Hypothèses!$C$26,Hypothèses!$D$26)))))*((A31)-INT((A31-1)/12)*12)/12)*$B$1</f>
        <v/>
      </c>
      <c r="H31">
        <f>(IF(B31=1,0,IF(B31=2,Hypothèses!$B$27,IF(B31=3,Hypothèses!$C$27,Hypothèses!$D$27)))+(IF(B31=1,Hypothèses!$B$27,IF(B31=2,Hypothèses!$C$27,IF(B31=3,Hypothèses!$D$27,Hypothèses!$D$27)))-(IF(B31=1,0,IF(B31=2,Hypothèses!$B$27,IF(B31=3,Hypothèses!$C$27,Hypothèses!$D$27)))))*((A31)-INT((A31-1)/12)*12)/12)*$B$1</f>
        <v/>
      </c>
      <c r="I31">
        <f>(IF(B31=1,0,IF(B31=2,Hypothèses!$B$28,IF(B31=3,Hypothèses!$C$28,Hypothèses!$D$28)))+(IF(B31=1,Hypothèses!$B$28,IF(B31=2,Hypothèses!$C$28,IF(B31=3,Hypothèses!$D$28,Hypothèses!$D$28)))-(IF(B31=1,0,IF(B31=2,Hypothèses!$B$28,IF(B31=3,Hypothèses!$C$28,Hypothèses!$D$28)))))*((A31)-INT((A31-1)/12)*12)/12)*$B$1</f>
        <v/>
      </c>
      <c r="J31">
        <f>(IF(B31=1,0,IF(B31=2,Hypothèses!$B$29,IF(B31=3,Hypothèses!$C$29,Hypothèses!$D$29)))+(IF(B31=1,Hypothèses!$B$29,IF(B31=2,Hypothèses!$C$29,IF(B31=3,Hypothèses!$D$29,Hypothèses!$D$29)))-(IF(B31=1,0,IF(B31=2,Hypothèses!$B$29,IF(B31=3,Hypothèses!$C$29,Hypothèses!$D$29)))))*((A31)-INT((A31-1)/12)*12)/12)*$B$1</f>
        <v/>
      </c>
      <c r="K31">
        <f>IF(A31&lt;Hypothèses!$B$7,0,Hypothèses!$B$8*(1-Hypothèses!$B$9)^(A31-Hypothèses!$B$7))</f>
        <v/>
      </c>
      <c r="L31">
        <f>C31+D31+E31+F31</f>
        <v/>
      </c>
      <c r="M31">
        <f>(C31*Hypothèses!$B$11+D31*Hypothèses!$B$12+E31*Hypothèses!$B$13+F31*Hypothèses!$B$14)*(IF(B31=1,Hypothèses!$B$20,IF(B31=2,Hypothèses!$B$21,Hypothèses!$B$22))+(1-(IF(B31=1,Hypothèses!$B$20,IF(B31=2,Hypothèses!$B$21,Hypothèses!$B$22))))*11/12)</f>
        <v/>
      </c>
      <c r="N31">
        <f>L31*IF(B31=1,Hypothèses!$C$20,IF(B31=2,Hypothèses!$C$21,Hypothèses!$C$22))*IF(B31=1,Hypothèses!$D$20,IF(B31=2,Hypothèses!$D$21,Hypothèses!$D$22))</f>
        <v/>
      </c>
      <c r="O31">
        <f>IF(A31=18,IF($B$2&gt;=1,Hypothèses!$B$33,0),IF(AND(OR(A31=30,A31=34),$D$2&gt;=1),Hypothèses!$B$34*MIN(1,$D$2/3),0))</f>
        <v/>
      </c>
      <c r="P31">
        <f>M31+N31+O31</f>
        <v/>
      </c>
      <c r="Q31">
        <f>P31/(1+Hypothèses!$B$6)</f>
        <v/>
      </c>
      <c r="R31">
        <f>Hypothèses!$B$3*(1+Hypothèses!$B$4)^INT((A31-1)/3)</f>
        <v/>
      </c>
      <c r="S31">
        <f>IF($A31&lt;7,2,IF($A31&lt;13,3,IF($A31&lt;19,4,5)))</f>
        <v/>
      </c>
      <c r="T31">
        <f>S31*Hypothèses!$B$17</f>
        <v/>
      </c>
      <c r="U31">
        <f>Q31*Hypothèses!$B$5</f>
        <v/>
      </c>
      <c r="V31">
        <f>Q31-R31-T31-U31</f>
        <v/>
      </c>
      <c r="W31">
        <f>W30+V31</f>
        <v/>
      </c>
    </row>
    <row r="32">
      <c r="A32" t="n">
        <v>29</v>
      </c>
      <c r="B32">
        <f>INT((A32-1)/12)+1</f>
        <v/>
      </c>
      <c r="C32">
        <f>ROUND(IF(MOD($A32,12)=0,G32,(IF(32=4,0,C31))*(1-$K32)+IF((IF(32=4,0,C31))*(1-$K32)&lt;G32,(G32-(IF(32=4,0,C31))*(1-$K32))*Hypothèses!$B$10,0)),1)</f>
        <v/>
      </c>
      <c r="D32">
        <f>ROUND(IF(MOD($A32,12)=0,H32,(IF(32=4,0,D31))*(1-$K32)+IF((IF(32=4,0,D31))*(1-$K32)&lt;H32,(H32-(IF(32=4,0,D31))*(1-$K32))*Hypothèses!$B$10,0)),1)</f>
        <v/>
      </c>
      <c r="E32">
        <f>ROUND(IF(MOD($A32,12)=0,I32,(IF(32=4,0,E31))*(1-$K32)+IF((IF(32=4,0,E31))*(1-$K32)&lt;I32,(I32-(IF(32=4,0,E31))*(1-$K32))*Hypothèses!$B$10,0)),1)</f>
        <v/>
      </c>
      <c r="F32">
        <f>ROUND(IF(MOD($A32,12)=0,J32,(IF(32=4,0,F31))*(1-$K32)+IF((IF(32=4,0,F31))*(1-$K32)&lt;J32,(J32-(IF(32=4,0,F31))*(1-$K32))*Hypothèses!$B$10,0)),1)</f>
        <v/>
      </c>
      <c r="G32">
        <f>(IF(B32=1,0,IF(B32=2,Hypothèses!$B$26,IF(B32=3,Hypothèses!$C$26,Hypothèses!$D$26)))+(IF(B32=1,Hypothèses!$B$26,IF(B32=2,Hypothèses!$C$26,IF(B32=3,Hypothèses!$D$26,Hypothèses!$D$26)))-(IF(B32=1,0,IF(B32=2,Hypothèses!$B$26,IF(B32=3,Hypothèses!$C$26,Hypothèses!$D$26)))))*((A32)-INT((A32-1)/12)*12)/12)*$B$1</f>
        <v/>
      </c>
      <c r="H32">
        <f>(IF(B32=1,0,IF(B32=2,Hypothèses!$B$27,IF(B32=3,Hypothèses!$C$27,Hypothèses!$D$27)))+(IF(B32=1,Hypothèses!$B$27,IF(B32=2,Hypothèses!$C$27,IF(B32=3,Hypothèses!$D$27,Hypothèses!$D$27)))-(IF(B32=1,0,IF(B32=2,Hypothèses!$B$27,IF(B32=3,Hypothèses!$C$27,Hypothèses!$D$27)))))*((A32)-INT((A32-1)/12)*12)/12)*$B$1</f>
        <v/>
      </c>
      <c r="I32">
        <f>(IF(B32=1,0,IF(B32=2,Hypothèses!$B$28,IF(B32=3,Hypothèses!$C$28,Hypothèses!$D$28)))+(IF(B32=1,Hypothèses!$B$28,IF(B32=2,Hypothèses!$C$28,IF(B32=3,Hypothèses!$D$28,Hypothèses!$D$28)))-(IF(B32=1,0,IF(B32=2,Hypothèses!$B$28,IF(B32=3,Hypothèses!$C$28,Hypothèses!$D$28)))))*((A32)-INT((A32-1)/12)*12)/12)*$B$1</f>
        <v/>
      </c>
      <c r="J32">
        <f>(IF(B32=1,0,IF(B32=2,Hypothèses!$B$29,IF(B32=3,Hypothèses!$C$29,Hypothèses!$D$29)))+(IF(B32=1,Hypothèses!$B$29,IF(B32=2,Hypothèses!$C$29,IF(B32=3,Hypothèses!$D$29,Hypothèses!$D$29)))-(IF(B32=1,0,IF(B32=2,Hypothèses!$B$29,IF(B32=3,Hypothèses!$C$29,Hypothèses!$D$29)))))*((A32)-INT((A32-1)/12)*12)/12)*$B$1</f>
        <v/>
      </c>
      <c r="K32">
        <f>IF(A32&lt;Hypothèses!$B$7,0,Hypothèses!$B$8*(1-Hypothèses!$B$9)^(A32-Hypothèses!$B$7))</f>
        <v/>
      </c>
      <c r="L32">
        <f>C32+D32+E32+F32</f>
        <v/>
      </c>
      <c r="M32">
        <f>(C32*Hypothèses!$B$11+D32*Hypothèses!$B$12+E32*Hypothèses!$B$13+F32*Hypothèses!$B$14)*(IF(B32=1,Hypothèses!$B$20,IF(B32=2,Hypothèses!$B$21,Hypothèses!$B$22))+(1-(IF(B32=1,Hypothèses!$B$20,IF(B32=2,Hypothèses!$B$21,Hypothèses!$B$22))))*11/12)</f>
        <v/>
      </c>
      <c r="N32">
        <f>L32*IF(B32=1,Hypothèses!$C$20,IF(B32=2,Hypothèses!$C$21,Hypothèses!$C$22))*IF(B32=1,Hypothèses!$D$20,IF(B32=2,Hypothèses!$D$21,Hypothèses!$D$22))</f>
        <v/>
      </c>
      <c r="O32">
        <f>IF(A32=18,IF($B$2&gt;=1,Hypothèses!$B$33,0),IF(AND(OR(A32=30,A32=34),$D$2&gt;=1),Hypothèses!$B$34*MIN(1,$D$2/3),0))</f>
        <v/>
      </c>
      <c r="P32">
        <f>M32+N32+O32</f>
        <v/>
      </c>
      <c r="Q32">
        <f>P32/(1+Hypothèses!$B$6)</f>
        <v/>
      </c>
      <c r="R32">
        <f>Hypothèses!$B$3*(1+Hypothèses!$B$4)^INT((A32-1)/3)</f>
        <v/>
      </c>
      <c r="S32">
        <f>IF($A32&lt;7,2,IF($A32&lt;13,3,IF($A32&lt;19,4,5)))</f>
        <v/>
      </c>
      <c r="T32">
        <f>S32*Hypothèses!$B$17</f>
        <v/>
      </c>
      <c r="U32">
        <f>Q32*Hypothèses!$B$5</f>
        <v/>
      </c>
      <c r="V32">
        <f>Q32-R32-T32-U32</f>
        <v/>
      </c>
      <c r="W32">
        <f>W31+V32</f>
        <v/>
      </c>
    </row>
    <row r="33">
      <c r="A33" t="n">
        <v>30</v>
      </c>
      <c r="B33">
        <f>INT((A33-1)/12)+1</f>
        <v/>
      </c>
      <c r="C33">
        <f>ROUND(IF(MOD($A33,12)=0,G33,(IF(33=4,0,C32))*(1-$K33)+IF((IF(33=4,0,C32))*(1-$K33)&lt;G33,(G33-(IF(33=4,0,C32))*(1-$K33))*Hypothèses!$B$10,0)),1)</f>
        <v/>
      </c>
      <c r="D33">
        <f>ROUND(IF(MOD($A33,12)=0,H33,(IF(33=4,0,D32))*(1-$K33)+IF((IF(33=4,0,D32))*(1-$K33)&lt;H33,(H33-(IF(33=4,0,D32))*(1-$K33))*Hypothèses!$B$10,0)),1)</f>
        <v/>
      </c>
      <c r="E33">
        <f>ROUND(IF(MOD($A33,12)=0,I33,(IF(33=4,0,E32))*(1-$K33)+IF((IF(33=4,0,E32))*(1-$K33)&lt;I33,(I33-(IF(33=4,0,E32))*(1-$K33))*Hypothèses!$B$10,0)),1)</f>
        <v/>
      </c>
      <c r="F33">
        <f>ROUND(IF(MOD($A33,12)=0,J33,(IF(33=4,0,F32))*(1-$K33)+IF((IF(33=4,0,F32))*(1-$K33)&lt;J33,(J33-(IF(33=4,0,F32))*(1-$K33))*Hypothèses!$B$10,0)),1)</f>
        <v/>
      </c>
      <c r="G33">
        <f>(IF(B33=1,0,IF(B33=2,Hypothèses!$B$26,IF(B33=3,Hypothèses!$C$26,Hypothèses!$D$26)))+(IF(B33=1,Hypothèses!$B$26,IF(B33=2,Hypothèses!$C$26,IF(B33=3,Hypothèses!$D$26,Hypothèses!$D$26)))-(IF(B33=1,0,IF(B33=2,Hypothèses!$B$26,IF(B33=3,Hypothèses!$C$26,Hypothèses!$D$26)))))*((A33)-INT((A33-1)/12)*12)/12)*$B$1</f>
        <v/>
      </c>
      <c r="H33">
        <f>(IF(B33=1,0,IF(B33=2,Hypothèses!$B$27,IF(B33=3,Hypothèses!$C$27,Hypothèses!$D$27)))+(IF(B33=1,Hypothèses!$B$27,IF(B33=2,Hypothèses!$C$27,IF(B33=3,Hypothèses!$D$27,Hypothèses!$D$27)))-(IF(B33=1,0,IF(B33=2,Hypothèses!$B$27,IF(B33=3,Hypothèses!$C$27,Hypothèses!$D$27)))))*((A33)-INT((A33-1)/12)*12)/12)*$B$1</f>
        <v/>
      </c>
      <c r="I33">
        <f>(IF(B33=1,0,IF(B33=2,Hypothèses!$B$28,IF(B33=3,Hypothèses!$C$28,Hypothèses!$D$28)))+(IF(B33=1,Hypothèses!$B$28,IF(B33=2,Hypothèses!$C$28,IF(B33=3,Hypothèses!$D$28,Hypothèses!$D$28)))-(IF(B33=1,0,IF(B33=2,Hypothèses!$B$28,IF(B33=3,Hypothèses!$C$28,Hypothèses!$D$28)))))*((A33)-INT((A33-1)/12)*12)/12)*$B$1</f>
        <v/>
      </c>
      <c r="J33">
        <f>(IF(B33=1,0,IF(B33=2,Hypothèses!$B$29,IF(B33=3,Hypothèses!$C$29,Hypothèses!$D$29)))+(IF(B33=1,Hypothèses!$B$29,IF(B33=2,Hypothèses!$C$29,IF(B33=3,Hypothèses!$D$29,Hypothèses!$D$29)))-(IF(B33=1,0,IF(B33=2,Hypothèses!$B$29,IF(B33=3,Hypothèses!$C$29,Hypothèses!$D$29)))))*((A33)-INT((A33-1)/12)*12)/12)*$B$1</f>
        <v/>
      </c>
      <c r="K33">
        <f>IF(A33&lt;Hypothèses!$B$7,0,Hypothèses!$B$8*(1-Hypothèses!$B$9)^(A33-Hypothèses!$B$7))</f>
        <v/>
      </c>
      <c r="L33">
        <f>C33+D33+E33+F33</f>
        <v/>
      </c>
      <c r="M33">
        <f>(C33*Hypothèses!$B$11+D33*Hypothèses!$B$12+E33*Hypothèses!$B$13+F33*Hypothèses!$B$14)*(IF(B33=1,Hypothèses!$B$20,IF(B33=2,Hypothèses!$B$21,Hypothèses!$B$22))+(1-(IF(B33=1,Hypothèses!$B$20,IF(B33=2,Hypothèses!$B$21,Hypothèses!$B$22))))*11/12)</f>
        <v/>
      </c>
      <c r="N33">
        <f>L33*IF(B33=1,Hypothèses!$C$20,IF(B33=2,Hypothèses!$C$21,Hypothèses!$C$22))*IF(B33=1,Hypothèses!$D$20,IF(B33=2,Hypothèses!$D$21,Hypothèses!$D$22))</f>
        <v/>
      </c>
      <c r="O33">
        <f>IF(A33=18,IF($B$2&gt;=1,Hypothèses!$B$33,0),IF(AND(OR(A33=30,A33=34),$D$2&gt;=1),Hypothèses!$B$34*MIN(1,$D$2/3),0))</f>
        <v/>
      </c>
      <c r="P33">
        <f>M33+N33+O33</f>
        <v/>
      </c>
      <c r="Q33">
        <f>P33/(1+Hypothèses!$B$6)</f>
        <v/>
      </c>
      <c r="R33">
        <f>Hypothèses!$B$3*(1+Hypothèses!$B$4)^INT((A33-1)/3)</f>
        <v/>
      </c>
      <c r="S33">
        <f>IF($A33&lt;7,2,IF($A33&lt;13,3,IF($A33&lt;19,4,5)))</f>
        <v/>
      </c>
      <c r="T33">
        <f>S33*Hypothèses!$B$17</f>
        <v/>
      </c>
      <c r="U33">
        <f>Q33*Hypothèses!$B$5</f>
        <v/>
      </c>
      <c r="V33">
        <f>Q33-R33-T33-U33</f>
        <v/>
      </c>
      <c r="W33">
        <f>W32+V33</f>
        <v/>
      </c>
    </row>
    <row r="34">
      <c r="A34" t="n">
        <v>31</v>
      </c>
      <c r="B34">
        <f>INT((A34-1)/12)+1</f>
        <v/>
      </c>
      <c r="C34">
        <f>ROUND(IF(MOD($A34,12)=0,G34,(IF(34=4,0,C33))*(1-$K34)+IF((IF(34=4,0,C33))*(1-$K34)&lt;G34,(G34-(IF(34=4,0,C33))*(1-$K34))*Hypothèses!$B$10,0)),1)</f>
        <v/>
      </c>
      <c r="D34">
        <f>ROUND(IF(MOD($A34,12)=0,H34,(IF(34=4,0,D33))*(1-$K34)+IF((IF(34=4,0,D33))*(1-$K34)&lt;H34,(H34-(IF(34=4,0,D33))*(1-$K34))*Hypothèses!$B$10,0)),1)</f>
        <v/>
      </c>
      <c r="E34">
        <f>ROUND(IF(MOD($A34,12)=0,I34,(IF(34=4,0,E33))*(1-$K34)+IF((IF(34=4,0,E33))*(1-$K34)&lt;I34,(I34-(IF(34=4,0,E33))*(1-$K34))*Hypothèses!$B$10,0)),1)</f>
        <v/>
      </c>
      <c r="F34">
        <f>ROUND(IF(MOD($A34,12)=0,J34,(IF(34=4,0,F33))*(1-$K34)+IF((IF(34=4,0,F33))*(1-$K34)&lt;J34,(J34-(IF(34=4,0,F33))*(1-$K34))*Hypothèses!$B$10,0)),1)</f>
        <v/>
      </c>
      <c r="G34">
        <f>(IF(B34=1,0,IF(B34=2,Hypothèses!$B$26,IF(B34=3,Hypothèses!$C$26,Hypothèses!$D$26)))+(IF(B34=1,Hypothèses!$B$26,IF(B34=2,Hypothèses!$C$26,IF(B34=3,Hypothèses!$D$26,Hypothèses!$D$26)))-(IF(B34=1,0,IF(B34=2,Hypothèses!$B$26,IF(B34=3,Hypothèses!$C$26,Hypothèses!$D$26)))))*((A34)-INT((A34-1)/12)*12)/12)*$B$1</f>
        <v/>
      </c>
      <c r="H34">
        <f>(IF(B34=1,0,IF(B34=2,Hypothèses!$B$27,IF(B34=3,Hypothèses!$C$27,Hypothèses!$D$27)))+(IF(B34=1,Hypothèses!$B$27,IF(B34=2,Hypothèses!$C$27,IF(B34=3,Hypothèses!$D$27,Hypothèses!$D$27)))-(IF(B34=1,0,IF(B34=2,Hypothèses!$B$27,IF(B34=3,Hypothèses!$C$27,Hypothèses!$D$27)))))*((A34)-INT((A34-1)/12)*12)/12)*$B$1</f>
        <v/>
      </c>
      <c r="I34">
        <f>(IF(B34=1,0,IF(B34=2,Hypothèses!$B$28,IF(B34=3,Hypothèses!$C$28,Hypothèses!$D$28)))+(IF(B34=1,Hypothèses!$B$28,IF(B34=2,Hypothèses!$C$28,IF(B34=3,Hypothèses!$D$28,Hypothèses!$D$28)))-(IF(B34=1,0,IF(B34=2,Hypothèses!$B$28,IF(B34=3,Hypothèses!$C$28,Hypothèses!$D$28)))))*((A34)-INT((A34-1)/12)*12)/12)*$B$1</f>
        <v/>
      </c>
      <c r="J34">
        <f>(IF(B34=1,0,IF(B34=2,Hypothèses!$B$29,IF(B34=3,Hypothèses!$C$29,Hypothèses!$D$29)))+(IF(B34=1,Hypothèses!$B$29,IF(B34=2,Hypothèses!$C$29,IF(B34=3,Hypothèses!$D$29,Hypothèses!$D$29)))-(IF(B34=1,0,IF(B34=2,Hypothèses!$B$29,IF(B34=3,Hypothèses!$C$29,Hypothèses!$D$29)))))*((A34)-INT((A34-1)/12)*12)/12)*$B$1</f>
        <v/>
      </c>
      <c r="K34">
        <f>IF(A34&lt;Hypothèses!$B$7,0,Hypothèses!$B$8*(1-Hypothèses!$B$9)^(A34-Hypothèses!$B$7))</f>
        <v/>
      </c>
      <c r="L34">
        <f>C34+D34+E34+F34</f>
        <v/>
      </c>
      <c r="M34">
        <f>(C34*Hypothèses!$B$11+D34*Hypothèses!$B$12+E34*Hypothèses!$B$13+F34*Hypothèses!$B$14)*(IF(B34=1,Hypothèses!$B$20,IF(B34=2,Hypothèses!$B$21,Hypothèses!$B$22))+(1-(IF(B34=1,Hypothèses!$B$20,IF(B34=2,Hypothèses!$B$21,Hypothèses!$B$22))))*11/12)</f>
        <v/>
      </c>
      <c r="N34">
        <f>L34*IF(B34=1,Hypothèses!$C$20,IF(B34=2,Hypothèses!$C$21,Hypothèses!$C$22))*IF(B34=1,Hypothèses!$D$20,IF(B34=2,Hypothèses!$D$21,Hypothèses!$D$22))</f>
        <v/>
      </c>
      <c r="O34">
        <f>IF(A34=18,IF($B$2&gt;=1,Hypothèses!$B$33,0),IF(AND(OR(A34=30,A34=34),$D$2&gt;=1),Hypothèses!$B$34*MIN(1,$D$2/3),0))</f>
        <v/>
      </c>
      <c r="P34">
        <f>M34+N34+O34</f>
        <v/>
      </c>
      <c r="Q34">
        <f>P34/(1+Hypothèses!$B$6)</f>
        <v/>
      </c>
      <c r="R34">
        <f>Hypothèses!$B$3*(1+Hypothèses!$B$4)^INT((A34-1)/3)</f>
        <v/>
      </c>
      <c r="S34">
        <f>IF($A34&lt;7,2,IF($A34&lt;13,3,IF($A34&lt;19,4,5)))</f>
        <v/>
      </c>
      <c r="T34">
        <f>S34*Hypothèses!$B$17</f>
        <v/>
      </c>
      <c r="U34">
        <f>Q34*Hypothèses!$B$5</f>
        <v/>
      </c>
      <c r="V34">
        <f>Q34-R34-T34-U34</f>
        <v/>
      </c>
      <c r="W34">
        <f>W33+V34</f>
        <v/>
      </c>
    </row>
    <row r="35">
      <c r="A35" t="n">
        <v>32</v>
      </c>
      <c r="B35">
        <f>INT((A35-1)/12)+1</f>
        <v/>
      </c>
      <c r="C35">
        <f>ROUND(IF(MOD($A35,12)=0,G35,(IF(35=4,0,C34))*(1-$K35)+IF((IF(35=4,0,C34))*(1-$K35)&lt;G35,(G35-(IF(35=4,0,C34))*(1-$K35))*Hypothèses!$B$10,0)),1)</f>
        <v/>
      </c>
      <c r="D35">
        <f>ROUND(IF(MOD($A35,12)=0,H35,(IF(35=4,0,D34))*(1-$K35)+IF((IF(35=4,0,D34))*(1-$K35)&lt;H35,(H35-(IF(35=4,0,D34))*(1-$K35))*Hypothèses!$B$10,0)),1)</f>
        <v/>
      </c>
      <c r="E35">
        <f>ROUND(IF(MOD($A35,12)=0,I35,(IF(35=4,0,E34))*(1-$K35)+IF((IF(35=4,0,E34))*(1-$K35)&lt;I35,(I35-(IF(35=4,0,E34))*(1-$K35))*Hypothèses!$B$10,0)),1)</f>
        <v/>
      </c>
      <c r="F35">
        <f>ROUND(IF(MOD($A35,12)=0,J35,(IF(35=4,0,F34))*(1-$K35)+IF((IF(35=4,0,F34))*(1-$K35)&lt;J35,(J35-(IF(35=4,0,F34))*(1-$K35))*Hypothèses!$B$10,0)),1)</f>
        <v/>
      </c>
      <c r="G35">
        <f>(IF(B35=1,0,IF(B35=2,Hypothèses!$B$26,IF(B35=3,Hypothèses!$C$26,Hypothèses!$D$26)))+(IF(B35=1,Hypothèses!$B$26,IF(B35=2,Hypothèses!$C$26,IF(B35=3,Hypothèses!$D$26,Hypothèses!$D$26)))-(IF(B35=1,0,IF(B35=2,Hypothèses!$B$26,IF(B35=3,Hypothèses!$C$26,Hypothèses!$D$26)))))*((A35)-INT((A35-1)/12)*12)/12)*$B$1</f>
        <v/>
      </c>
      <c r="H35">
        <f>(IF(B35=1,0,IF(B35=2,Hypothèses!$B$27,IF(B35=3,Hypothèses!$C$27,Hypothèses!$D$27)))+(IF(B35=1,Hypothèses!$B$27,IF(B35=2,Hypothèses!$C$27,IF(B35=3,Hypothèses!$D$27,Hypothèses!$D$27)))-(IF(B35=1,0,IF(B35=2,Hypothèses!$B$27,IF(B35=3,Hypothèses!$C$27,Hypothèses!$D$27)))))*((A35)-INT((A35-1)/12)*12)/12)*$B$1</f>
        <v/>
      </c>
      <c r="I35">
        <f>(IF(B35=1,0,IF(B35=2,Hypothèses!$B$28,IF(B35=3,Hypothèses!$C$28,Hypothèses!$D$28)))+(IF(B35=1,Hypothèses!$B$28,IF(B35=2,Hypothèses!$C$28,IF(B35=3,Hypothèses!$D$28,Hypothèses!$D$28)))-(IF(B35=1,0,IF(B35=2,Hypothèses!$B$28,IF(B35=3,Hypothèses!$C$28,Hypothèses!$D$28)))))*((A35)-INT((A35-1)/12)*12)/12)*$B$1</f>
        <v/>
      </c>
      <c r="J35">
        <f>(IF(B35=1,0,IF(B35=2,Hypothèses!$B$29,IF(B35=3,Hypothèses!$C$29,Hypothèses!$D$29)))+(IF(B35=1,Hypothèses!$B$29,IF(B35=2,Hypothèses!$C$29,IF(B35=3,Hypothèses!$D$29,Hypothèses!$D$29)))-(IF(B35=1,0,IF(B35=2,Hypothèses!$B$29,IF(B35=3,Hypothèses!$C$29,Hypothèses!$D$29)))))*((A35)-INT((A35-1)/12)*12)/12)*$B$1</f>
        <v/>
      </c>
      <c r="K35">
        <f>IF(A35&lt;Hypothèses!$B$7,0,Hypothèses!$B$8*(1-Hypothèses!$B$9)^(A35-Hypothèses!$B$7))</f>
        <v/>
      </c>
      <c r="L35">
        <f>C35+D35+E35+F35</f>
        <v/>
      </c>
      <c r="M35">
        <f>(C35*Hypothèses!$B$11+D35*Hypothèses!$B$12+E35*Hypothèses!$B$13+F35*Hypothèses!$B$14)*(IF(B35=1,Hypothèses!$B$20,IF(B35=2,Hypothèses!$B$21,Hypothèses!$B$22))+(1-(IF(B35=1,Hypothèses!$B$20,IF(B35=2,Hypothèses!$B$21,Hypothèses!$B$22))))*11/12)</f>
        <v/>
      </c>
      <c r="N35">
        <f>L35*IF(B35=1,Hypothèses!$C$20,IF(B35=2,Hypothèses!$C$21,Hypothèses!$C$22))*IF(B35=1,Hypothèses!$D$20,IF(B35=2,Hypothèses!$D$21,Hypothèses!$D$22))</f>
        <v/>
      </c>
      <c r="O35">
        <f>IF(A35=18,IF($B$2&gt;=1,Hypothèses!$B$33,0),IF(AND(OR(A35=30,A35=34),$D$2&gt;=1),Hypothèses!$B$34*MIN(1,$D$2/3),0))</f>
        <v/>
      </c>
      <c r="P35">
        <f>M35+N35+O35</f>
        <v/>
      </c>
      <c r="Q35">
        <f>P35/(1+Hypothèses!$B$6)</f>
        <v/>
      </c>
      <c r="R35">
        <f>Hypothèses!$B$3*(1+Hypothèses!$B$4)^INT((A35-1)/3)</f>
        <v/>
      </c>
      <c r="S35">
        <f>IF($A35&lt;7,2,IF($A35&lt;13,3,IF($A35&lt;19,4,5)))</f>
        <v/>
      </c>
      <c r="T35">
        <f>S35*Hypothèses!$B$17</f>
        <v/>
      </c>
      <c r="U35">
        <f>Q35*Hypothèses!$B$5</f>
        <v/>
      </c>
      <c r="V35">
        <f>Q35-R35-T35-U35</f>
        <v/>
      </c>
      <c r="W35">
        <f>W34+V35</f>
        <v/>
      </c>
    </row>
    <row r="36">
      <c r="A36" t="n">
        <v>33</v>
      </c>
      <c r="B36">
        <f>INT((A36-1)/12)+1</f>
        <v/>
      </c>
      <c r="C36">
        <f>ROUND(IF(MOD($A36,12)=0,G36,(IF(36=4,0,C35))*(1-$K36)+IF((IF(36=4,0,C35))*(1-$K36)&lt;G36,(G36-(IF(36=4,0,C35))*(1-$K36))*Hypothèses!$B$10,0)),1)</f>
        <v/>
      </c>
      <c r="D36">
        <f>ROUND(IF(MOD($A36,12)=0,H36,(IF(36=4,0,D35))*(1-$K36)+IF((IF(36=4,0,D35))*(1-$K36)&lt;H36,(H36-(IF(36=4,0,D35))*(1-$K36))*Hypothèses!$B$10,0)),1)</f>
        <v/>
      </c>
      <c r="E36">
        <f>ROUND(IF(MOD($A36,12)=0,I36,(IF(36=4,0,E35))*(1-$K36)+IF((IF(36=4,0,E35))*(1-$K36)&lt;I36,(I36-(IF(36=4,0,E35))*(1-$K36))*Hypothèses!$B$10,0)),1)</f>
        <v/>
      </c>
      <c r="F36">
        <f>ROUND(IF(MOD($A36,12)=0,J36,(IF(36=4,0,F35))*(1-$K36)+IF((IF(36=4,0,F35))*(1-$K36)&lt;J36,(J36-(IF(36=4,0,F35))*(1-$K36))*Hypothèses!$B$10,0)),1)</f>
        <v/>
      </c>
      <c r="G36">
        <f>(IF(B36=1,0,IF(B36=2,Hypothèses!$B$26,IF(B36=3,Hypothèses!$C$26,Hypothèses!$D$26)))+(IF(B36=1,Hypothèses!$B$26,IF(B36=2,Hypothèses!$C$26,IF(B36=3,Hypothèses!$D$26,Hypothèses!$D$26)))-(IF(B36=1,0,IF(B36=2,Hypothèses!$B$26,IF(B36=3,Hypothèses!$C$26,Hypothèses!$D$26)))))*((A36)-INT((A36-1)/12)*12)/12)*$B$1</f>
        <v/>
      </c>
      <c r="H36">
        <f>(IF(B36=1,0,IF(B36=2,Hypothèses!$B$27,IF(B36=3,Hypothèses!$C$27,Hypothèses!$D$27)))+(IF(B36=1,Hypothèses!$B$27,IF(B36=2,Hypothèses!$C$27,IF(B36=3,Hypothèses!$D$27,Hypothèses!$D$27)))-(IF(B36=1,0,IF(B36=2,Hypothèses!$B$27,IF(B36=3,Hypothèses!$C$27,Hypothèses!$D$27)))))*((A36)-INT((A36-1)/12)*12)/12)*$B$1</f>
        <v/>
      </c>
      <c r="I36">
        <f>(IF(B36=1,0,IF(B36=2,Hypothèses!$B$28,IF(B36=3,Hypothèses!$C$28,Hypothèses!$D$28)))+(IF(B36=1,Hypothèses!$B$28,IF(B36=2,Hypothèses!$C$28,IF(B36=3,Hypothèses!$D$28,Hypothèses!$D$28)))-(IF(B36=1,0,IF(B36=2,Hypothèses!$B$28,IF(B36=3,Hypothèses!$C$28,Hypothèses!$D$28)))))*((A36)-INT((A36-1)/12)*12)/12)*$B$1</f>
        <v/>
      </c>
      <c r="J36">
        <f>(IF(B36=1,0,IF(B36=2,Hypothèses!$B$29,IF(B36=3,Hypothèses!$C$29,Hypothèses!$D$29)))+(IF(B36=1,Hypothèses!$B$29,IF(B36=2,Hypothèses!$C$29,IF(B36=3,Hypothèses!$D$29,Hypothèses!$D$29)))-(IF(B36=1,0,IF(B36=2,Hypothèses!$B$29,IF(B36=3,Hypothèses!$C$29,Hypothèses!$D$29)))))*((A36)-INT((A36-1)/12)*12)/12)*$B$1</f>
        <v/>
      </c>
      <c r="K36">
        <f>IF(A36&lt;Hypothèses!$B$7,0,Hypothèses!$B$8*(1-Hypothèses!$B$9)^(A36-Hypothèses!$B$7))</f>
        <v/>
      </c>
      <c r="L36">
        <f>C36+D36+E36+F36</f>
        <v/>
      </c>
      <c r="M36">
        <f>(C36*Hypothèses!$B$11+D36*Hypothèses!$B$12+E36*Hypothèses!$B$13+F36*Hypothèses!$B$14)*(IF(B36=1,Hypothèses!$B$20,IF(B36=2,Hypothèses!$B$21,Hypothèses!$B$22))+(1-(IF(B36=1,Hypothèses!$B$20,IF(B36=2,Hypothèses!$B$21,Hypothèses!$B$22))))*11/12)</f>
        <v/>
      </c>
      <c r="N36">
        <f>L36*IF(B36=1,Hypothèses!$C$20,IF(B36=2,Hypothèses!$C$21,Hypothèses!$C$22))*IF(B36=1,Hypothèses!$D$20,IF(B36=2,Hypothèses!$D$21,Hypothèses!$D$22))</f>
        <v/>
      </c>
      <c r="O36">
        <f>IF(A36=18,IF($B$2&gt;=1,Hypothèses!$B$33,0),IF(AND(OR(A36=30,A36=34),$D$2&gt;=1),Hypothèses!$B$34*MIN(1,$D$2/3),0))</f>
        <v/>
      </c>
      <c r="P36">
        <f>M36+N36+O36</f>
        <v/>
      </c>
      <c r="Q36">
        <f>P36/(1+Hypothèses!$B$6)</f>
        <v/>
      </c>
      <c r="R36">
        <f>Hypothèses!$B$3*(1+Hypothèses!$B$4)^INT((A36-1)/3)</f>
        <v/>
      </c>
      <c r="S36">
        <f>IF($A36&lt;7,2,IF($A36&lt;13,3,IF($A36&lt;19,4,5)))</f>
        <v/>
      </c>
      <c r="T36">
        <f>S36*Hypothèses!$B$17</f>
        <v/>
      </c>
      <c r="U36">
        <f>Q36*Hypothèses!$B$5</f>
        <v/>
      </c>
      <c r="V36">
        <f>Q36-R36-T36-U36</f>
        <v/>
      </c>
      <c r="W36">
        <f>W35+V36</f>
        <v/>
      </c>
    </row>
    <row r="37">
      <c r="A37" t="n">
        <v>34</v>
      </c>
      <c r="B37">
        <f>INT((A37-1)/12)+1</f>
        <v/>
      </c>
      <c r="C37">
        <f>ROUND(IF(MOD($A37,12)=0,G37,(IF(37=4,0,C36))*(1-$K37)+IF((IF(37=4,0,C36))*(1-$K37)&lt;G37,(G37-(IF(37=4,0,C36))*(1-$K37))*Hypothèses!$B$10,0)),1)</f>
        <v/>
      </c>
      <c r="D37">
        <f>ROUND(IF(MOD($A37,12)=0,H37,(IF(37=4,0,D36))*(1-$K37)+IF((IF(37=4,0,D36))*(1-$K37)&lt;H37,(H37-(IF(37=4,0,D36))*(1-$K37))*Hypothèses!$B$10,0)),1)</f>
        <v/>
      </c>
      <c r="E37">
        <f>ROUND(IF(MOD($A37,12)=0,I37,(IF(37=4,0,E36))*(1-$K37)+IF((IF(37=4,0,E36))*(1-$K37)&lt;I37,(I37-(IF(37=4,0,E36))*(1-$K37))*Hypothèses!$B$10,0)),1)</f>
        <v/>
      </c>
      <c r="F37">
        <f>ROUND(IF(MOD($A37,12)=0,J37,(IF(37=4,0,F36))*(1-$K37)+IF((IF(37=4,0,F36))*(1-$K37)&lt;J37,(J37-(IF(37=4,0,F36))*(1-$K37))*Hypothèses!$B$10,0)),1)</f>
        <v/>
      </c>
      <c r="G37">
        <f>(IF(B37=1,0,IF(B37=2,Hypothèses!$B$26,IF(B37=3,Hypothèses!$C$26,Hypothèses!$D$26)))+(IF(B37=1,Hypothèses!$B$26,IF(B37=2,Hypothèses!$C$26,IF(B37=3,Hypothèses!$D$26,Hypothèses!$D$26)))-(IF(B37=1,0,IF(B37=2,Hypothèses!$B$26,IF(B37=3,Hypothèses!$C$26,Hypothèses!$D$26)))))*((A37)-INT((A37-1)/12)*12)/12)*$B$1</f>
        <v/>
      </c>
      <c r="H37">
        <f>(IF(B37=1,0,IF(B37=2,Hypothèses!$B$27,IF(B37=3,Hypothèses!$C$27,Hypothèses!$D$27)))+(IF(B37=1,Hypothèses!$B$27,IF(B37=2,Hypothèses!$C$27,IF(B37=3,Hypothèses!$D$27,Hypothèses!$D$27)))-(IF(B37=1,0,IF(B37=2,Hypothèses!$B$27,IF(B37=3,Hypothèses!$C$27,Hypothèses!$D$27)))))*((A37)-INT((A37-1)/12)*12)/12)*$B$1</f>
        <v/>
      </c>
      <c r="I37">
        <f>(IF(B37=1,0,IF(B37=2,Hypothèses!$B$28,IF(B37=3,Hypothèses!$C$28,Hypothèses!$D$28)))+(IF(B37=1,Hypothèses!$B$28,IF(B37=2,Hypothèses!$C$28,IF(B37=3,Hypothèses!$D$28,Hypothèses!$D$28)))-(IF(B37=1,0,IF(B37=2,Hypothèses!$B$28,IF(B37=3,Hypothèses!$C$28,Hypothèses!$D$28)))))*((A37)-INT((A37-1)/12)*12)/12)*$B$1</f>
        <v/>
      </c>
      <c r="J37">
        <f>(IF(B37=1,0,IF(B37=2,Hypothèses!$B$29,IF(B37=3,Hypothèses!$C$29,Hypothèses!$D$29)))+(IF(B37=1,Hypothèses!$B$29,IF(B37=2,Hypothèses!$C$29,IF(B37=3,Hypothèses!$D$29,Hypothèses!$D$29)))-(IF(B37=1,0,IF(B37=2,Hypothèses!$B$29,IF(B37=3,Hypothèses!$C$29,Hypothèses!$D$29)))))*((A37)-INT((A37-1)/12)*12)/12)*$B$1</f>
        <v/>
      </c>
      <c r="K37">
        <f>IF(A37&lt;Hypothèses!$B$7,0,Hypothèses!$B$8*(1-Hypothèses!$B$9)^(A37-Hypothèses!$B$7))</f>
        <v/>
      </c>
      <c r="L37">
        <f>C37+D37+E37+F37</f>
        <v/>
      </c>
      <c r="M37">
        <f>(C37*Hypothèses!$B$11+D37*Hypothèses!$B$12+E37*Hypothèses!$B$13+F37*Hypothèses!$B$14)*(IF(B37=1,Hypothèses!$B$20,IF(B37=2,Hypothèses!$B$21,Hypothèses!$B$22))+(1-(IF(B37=1,Hypothèses!$B$20,IF(B37=2,Hypothèses!$B$21,Hypothèses!$B$22))))*11/12)</f>
        <v/>
      </c>
      <c r="N37">
        <f>L37*IF(B37=1,Hypothèses!$C$20,IF(B37=2,Hypothèses!$C$21,Hypothèses!$C$22))*IF(B37=1,Hypothèses!$D$20,IF(B37=2,Hypothèses!$D$21,Hypothèses!$D$22))</f>
        <v/>
      </c>
      <c r="O37">
        <f>IF(A37=18,IF($B$2&gt;=1,Hypothèses!$B$33,0),IF(AND(OR(A37=30,A37=34),$D$2&gt;=1),Hypothèses!$B$34*MIN(1,$D$2/3),0))</f>
        <v/>
      </c>
      <c r="P37">
        <f>M37+N37+O37</f>
        <v/>
      </c>
      <c r="Q37">
        <f>P37/(1+Hypothèses!$B$6)</f>
        <v/>
      </c>
      <c r="R37">
        <f>Hypothèses!$B$3*(1+Hypothèses!$B$4)^INT((A37-1)/3)</f>
        <v/>
      </c>
      <c r="S37">
        <f>IF($A37&lt;7,2,IF($A37&lt;13,3,IF($A37&lt;19,4,5)))</f>
        <v/>
      </c>
      <c r="T37">
        <f>S37*Hypothèses!$B$17</f>
        <v/>
      </c>
      <c r="U37">
        <f>Q37*Hypothèses!$B$5</f>
        <v/>
      </c>
      <c r="V37">
        <f>Q37-R37-T37-U37</f>
        <v/>
      </c>
      <c r="W37">
        <f>W36+V37</f>
        <v/>
      </c>
    </row>
    <row r="38">
      <c r="A38" t="n">
        <v>35</v>
      </c>
      <c r="B38">
        <f>INT((A38-1)/12)+1</f>
        <v/>
      </c>
      <c r="C38">
        <f>ROUND(IF(MOD($A38,12)=0,G38,(IF(38=4,0,C37))*(1-$K38)+IF((IF(38=4,0,C37))*(1-$K38)&lt;G38,(G38-(IF(38=4,0,C37))*(1-$K38))*Hypothèses!$B$10,0)),1)</f>
        <v/>
      </c>
      <c r="D38">
        <f>ROUND(IF(MOD($A38,12)=0,H38,(IF(38=4,0,D37))*(1-$K38)+IF((IF(38=4,0,D37))*(1-$K38)&lt;H38,(H38-(IF(38=4,0,D37))*(1-$K38))*Hypothèses!$B$10,0)),1)</f>
        <v/>
      </c>
      <c r="E38">
        <f>ROUND(IF(MOD($A38,12)=0,I38,(IF(38=4,0,E37))*(1-$K38)+IF((IF(38=4,0,E37))*(1-$K38)&lt;I38,(I38-(IF(38=4,0,E37))*(1-$K38))*Hypothèses!$B$10,0)),1)</f>
        <v/>
      </c>
      <c r="F38">
        <f>ROUND(IF(MOD($A38,12)=0,J38,(IF(38=4,0,F37))*(1-$K38)+IF((IF(38=4,0,F37))*(1-$K38)&lt;J38,(J38-(IF(38=4,0,F37))*(1-$K38))*Hypothèses!$B$10,0)),1)</f>
        <v/>
      </c>
      <c r="G38">
        <f>(IF(B38=1,0,IF(B38=2,Hypothèses!$B$26,IF(B38=3,Hypothèses!$C$26,Hypothèses!$D$26)))+(IF(B38=1,Hypothèses!$B$26,IF(B38=2,Hypothèses!$C$26,IF(B38=3,Hypothèses!$D$26,Hypothèses!$D$26)))-(IF(B38=1,0,IF(B38=2,Hypothèses!$B$26,IF(B38=3,Hypothèses!$C$26,Hypothèses!$D$26)))))*((A38)-INT((A38-1)/12)*12)/12)*$B$1</f>
        <v/>
      </c>
      <c r="H38">
        <f>(IF(B38=1,0,IF(B38=2,Hypothèses!$B$27,IF(B38=3,Hypothèses!$C$27,Hypothèses!$D$27)))+(IF(B38=1,Hypothèses!$B$27,IF(B38=2,Hypothèses!$C$27,IF(B38=3,Hypothèses!$D$27,Hypothèses!$D$27)))-(IF(B38=1,0,IF(B38=2,Hypothèses!$B$27,IF(B38=3,Hypothèses!$C$27,Hypothèses!$D$27)))))*((A38)-INT((A38-1)/12)*12)/12)*$B$1</f>
        <v/>
      </c>
      <c r="I38">
        <f>(IF(B38=1,0,IF(B38=2,Hypothèses!$B$28,IF(B38=3,Hypothèses!$C$28,Hypothèses!$D$28)))+(IF(B38=1,Hypothèses!$B$28,IF(B38=2,Hypothèses!$C$28,IF(B38=3,Hypothèses!$D$28,Hypothèses!$D$28)))-(IF(B38=1,0,IF(B38=2,Hypothèses!$B$28,IF(B38=3,Hypothèses!$C$28,Hypothèses!$D$28)))))*((A38)-INT((A38-1)/12)*12)/12)*$B$1</f>
        <v/>
      </c>
      <c r="J38">
        <f>(IF(B38=1,0,IF(B38=2,Hypothèses!$B$29,IF(B38=3,Hypothèses!$C$29,Hypothèses!$D$29)))+(IF(B38=1,Hypothèses!$B$29,IF(B38=2,Hypothèses!$C$29,IF(B38=3,Hypothèses!$D$29,Hypothèses!$D$29)))-(IF(B38=1,0,IF(B38=2,Hypothèses!$B$29,IF(B38=3,Hypothèses!$C$29,Hypothèses!$D$29)))))*((A38)-INT((A38-1)/12)*12)/12)*$B$1</f>
        <v/>
      </c>
      <c r="K38">
        <f>IF(A38&lt;Hypothèses!$B$7,0,Hypothèses!$B$8*(1-Hypothèses!$B$9)^(A38-Hypothèses!$B$7))</f>
        <v/>
      </c>
      <c r="L38">
        <f>C38+D38+E38+F38</f>
        <v/>
      </c>
      <c r="M38">
        <f>(C38*Hypothèses!$B$11+D38*Hypothèses!$B$12+E38*Hypothèses!$B$13+F38*Hypothèses!$B$14)*(IF(B38=1,Hypothèses!$B$20,IF(B38=2,Hypothèses!$B$21,Hypothèses!$B$22))+(1-(IF(B38=1,Hypothèses!$B$20,IF(B38=2,Hypothèses!$B$21,Hypothèses!$B$22))))*11/12)</f>
        <v/>
      </c>
      <c r="N38">
        <f>L38*IF(B38=1,Hypothèses!$C$20,IF(B38=2,Hypothèses!$C$21,Hypothèses!$C$22))*IF(B38=1,Hypothèses!$D$20,IF(B38=2,Hypothèses!$D$21,Hypothèses!$D$22))</f>
        <v/>
      </c>
      <c r="O38">
        <f>IF(A38=18,IF($B$2&gt;=1,Hypothèses!$B$33,0),IF(AND(OR(A38=30,A38=34),$D$2&gt;=1),Hypothèses!$B$34*MIN(1,$D$2/3),0))</f>
        <v/>
      </c>
      <c r="P38">
        <f>M38+N38+O38</f>
        <v/>
      </c>
      <c r="Q38">
        <f>P38/(1+Hypothèses!$B$6)</f>
        <v/>
      </c>
      <c r="R38">
        <f>Hypothèses!$B$3*(1+Hypothèses!$B$4)^INT((A38-1)/3)</f>
        <v/>
      </c>
      <c r="S38">
        <f>IF($A38&lt;7,2,IF($A38&lt;13,3,IF($A38&lt;19,4,5)))</f>
        <v/>
      </c>
      <c r="T38">
        <f>S38*Hypothèses!$B$17</f>
        <v/>
      </c>
      <c r="U38">
        <f>Q38*Hypothèses!$B$5</f>
        <v/>
      </c>
      <c r="V38">
        <f>Q38-R38-T38-U38</f>
        <v/>
      </c>
      <c r="W38">
        <f>W37+V38</f>
        <v/>
      </c>
    </row>
    <row r="39">
      <c r="A39" t="n">
        <v>36</v>
      </c>
      <c r="B39">
        <f>INT((A39-1)/12)+1</f>
        <v/>
      </c>
      <c r="C39">
        <f>ROUND(IF(MOD($A39,12)=0,G39,(IF(39=4,0,C38))*(1-$K39)+IF((IF(39=4,0,C38))*(1-$K39)&lt;G39,(G39-(IF(39=4,0,C38))*(1-$K39))*Hypothèses!$B$10,0)),1)</f>
        <v/>
      </c>
      <c r="D39">
        <f>ROUND(IF(MOD($A39,12)=0,H39,(IF(39=4,0,D38))*(1-$K39)+IF((IF(39=4,0,D38))*(1-$K39)&lt;H39,(H39-(IF(39=4,0,D38))*(1-$K39))*Hypothèses!$B$10,0)),1)</f>
        <v/>
      </c>
      <c r="E39">
        <f>ROUND(IF(MOD($A39,12)=0,I39,(IF(39=4,0,E38))*(1-$K39)+IF((IF(39=4,0,E38))*(1-$K39)&lt;I39,(I39-(IF(39=4,0,E38))*(1-$K39))*Hypothèses!$B$10,0)),1)</f>
        <v/>
      </c>
      <c r="F39">
        <f>ROUND(IF(MOD($A39,12)=0,J39,(IF(39=4,0,F38))*(1-$K39)+IF((IF(39=4,0,F38))*(1-$K39)&lt;J39,(J39-(IF(39=4,0,F38))*(1-$K39))*Hypothèses!$B$10,0)),1)</f>
        <v/>
      </c>
      <c r="G39">
        <f>(IF(B39=1,0,IF(B39=2,Hypothèses!$B$26,IF(B39=3,Hypothèses!$C$26,Hypothèses!$D$26)))+(IF(B39=1,Hypothèses!$B$26,IF(B39=2,Hypothèses!$C$26,IF(B39=3,Hypothèses!$D$26,Hypothèses!$D$26)))-(IF(B39=1,0,IF(B39=2,Hypothèses!$B$26,IF(B39=3,Hypothèses!$C$26,Hypothèses!$D$26)))))*((A39)-INT((A39-1)/12)*12)/12)*$B$1</f>
        <v/>
      </c>
      <c r="H39">
        <f>(IF(B39=1,0,IF(B39=2,Hypothèses!$B$27,IF(B39=3,Hypothèses!$C$27,Hypothèses!$D$27)))+(IF(B39=1,Hypothèses!$B$27,IF(B39=2,Hypothèses!$C$27,IF(B39=3,Hypothèses!$D$27,Hypothèses!$D$27)))-(IF(B39=1,0,IF(B39=2,Hypothèses!$B$27,IF(B39=3,Hypothèses!$C$27,Hypothèses!$D$27)))))*((A39)-INT((A39-1)/12)*12)/12)*$B$1</f>
        <v/>
      </c>
      <c r="I39">
        <f>(IF(B39=1,0,IF(B39=2,Hypothèses!$B$28,IF(B39=3,Hypothèses!$C$28,Hypothèses!$D$28)))+(IF(B39=1,Hypothèses!$B$28,IF(B39=2,Hypothèses!$C$28,IF(B39=3,Hypothèses!$D$28,Hypothèses!$D$28)))-(IF(B39=1,0,IF(B39=2,Hypothèses!$B$28,IF(B39=3,Hypothèses!$C$28,Hypothèses!$D$28)))))*((A39)-INT((A39-1)/12)*12)/12)*$B$1</f>
        <v/>
      </c>
      <c r="J39">
        <f>(IF(B39=1,0,IF(B39=2,Hypothèses!$B$29,IF(B39=3,Hypothèses!$C$29,Hypothèses!$D$29)))+(IF(B39=1,Hypothèses!$B$29,IF(B39=2,Hypothèses!$C$29,IF(B39=3,Hypothèses!$D$29,Hypothèses!$D$29)))-(IF(B39=1,0,IF(B39=2,Hypothèses!$B$29,IF(B39=3,Hypothèses!$C$29,Hypothèses!$D$29)))))*((A39)-INT((A39-1)/12)*12)/12)*$B$1</f>
        <v/>
      </c>
      <c r="K39">
        <f>IF(A39&lt;Hypothèses!$B$7,0,Hypothèses!$B$8*(1-Hypothèses!$B$9)^(A39-Hypothèses!$B$7))</f>
        <v/>
      </c>
      <c r="L39">
        <f>C39+D39+E39+F39</f>
        <v/>
      </c>
      <c r="M39">
        <f>(C39*Hypothèses!$B$11+D39*Hypothèses!$B$12+E39*Hypothèses!$B$13+F39*Hypothèses!$B$14)*(IF(B39=1,Hypothèses!$B$20,IF(B39=2,Hypothèses!$B$21,Hypothèses!$B$22))+(1-(IF(B39=1,Hypothèses!$B$20,IF(B39=2,Hypothèses!$B$21,Hypothèses!$B$22))))*11/12)</f>
        <v/>
      </c>
      <c r="N39">
        <f>L39*IF(B39=1,Hypothèses!$C$20,IF(B39=2,Hypothèses!$C$21,Hypothèses!$C$22))*IF(B39=1,Hypothèses!$D$20,IF(B39=2,Hypothèses!$D$21,Hypothèses!$D$22))</f>
        <v/>
      </c>
      <c r="O39">
        <f>IF(A39=18,IF($B$2&gt;=1,Hypothèses!$B$33,0),IF(AND(OR(A39=30,A39=34),$D$2&gt;=1),Hypothèses!$B$34*MIN(1,$D$2/3),0))</f>
        <v/>
      </c>
      <c r="P39">
        <f>M39+N39+O39</f>
        <v/>
      </c>
      <c r="Q39">
        <f>P39/(1+Hypothèses!$B$6)</f>
        <v/>
      </c>
      <c r="R39">
        <f>Hypothèses!$B$3*(1+Hypothèses!$B$4)^INT((A39-1)/3)</f>
        <v/>
      </c>
      <c r="S39">
        <f>IF($A39&lt;7,2,IF($A39&lt;13,3,IF($A39&lt;19,4,5)))</f>
        <v/>
      </c>
      <c r="T39">
        <f>S39*Hypothèses!$B$17</f>
        <v/>
      </c>
      <c r="U39">
        <f>Q39*Hypothèses!$B$5</f>
        <v/>
      </c>
      <c r="V39">
        <f>Q39-R39-T39-U39</f>
        <v/>
      </c>
      <c r="W39">
        <f>W38+V39</f>
        <v/>
      </c>
    </row>
    <row r="41">
      <c r="A41" s="2" t="inlineStr">
        <is>
          <t>Synthèse annuelle</t>
        </is>
      </c>
    </row>
    <row r="42">
      <c r="A42" t="inlineStr">
        <is>
          <t>Année</t>
        </is>
      </c>
      <c r="B42" t="inlineStr">
        <is>
          <t>CA HT</t>
        </is>
      </c>
      <c r="C42" t="inlineStr">
        <is>
          <t>EBITDA</t>
        </is>
      </c>
      <c r="D42" t="inlineStr">
        <is>
          <t>Sous-traitance dev</t>
        </is>
      </c>
      <c r="E42" t="inlineStr">
        <is>
          <t>Trésorerie fin</t>
        </is>
      </c>
    </row>
    <row r="43">
      <c r="A43" t="inlineStr">
        <is>
          <t>A1</t>
        </is>
      </c>
      <c r="B43">
        <f>SUMIF($B$4:$B$39,1,$Q$4:$Q$39)</f>
        <v/>
      </c>
      <c r="C43">
        <f>SUMIF($B$4:$B$39,1,$V$4:$V$39)</f>
        <v/>
      </c>
      <c r="D43">
        <f>SUMIF($B$4:$B$39,1,$T$4:$T$39)</f>
        <v/>
      </c>
      <c r="E43">
        <f>W15</f>
        <v/>
      </c>
    </row>
    <row r="44">
      <c r="A44" t="inlineStr">
        <is>
          <t>A2</t>
        </is>
      </c>
      <c r="B44">
        <f>SUMIF($B$4:$B$39,2,$Q$4:$Q$39)</f>
        <v/>
      </c>
      <c r="C44">
        <f>SUMIF($B$4:$B$39,2,$V$4:$V$39)</f>
        <v/>
      </c>
      <c r="D44">
        <f>SUMIF($B$4:$B$39,2,$T$4:$T$39)</f>
        <v/>
      </c>
      <c r="E44">
        <f>W27</f>
        <v/>
      </c>
    </row>
    <row r="45">
      <c r="A45" t="inlineStr">
        <is>
          <t>A3</t>
        </is>
      </c>
      <c r="B45">
        <f>SUMIF($B$4:$B$39,3,$Q$4:$Q$39)</f>
        <v/>
      </c>
      <c r="C45">
        <f>SUMIF($B$4:$B$39,3,$V$4:$V$39)</f>
        <v/>
      </c>
      <c r="D45">
        <f>SUMIF($B$4:$B$39,3,$T$4:$T$39)</f>
        <v/>
      </c>
      <c r="E45">
        <f>W39</f>
        <v/>
      </c>
    </row>
    <row r="47">
      <c r="A47" s="3" t="inlineStr">
        <is>
          <t>Effectifs fin A3 (cible × facteur)</t>
        </is>
      </c>
    </row>
    <row r="48">
      <c r="A48">
        <f>ROUND(Hypothèses!$D$26*$B$1,0)&amp;" Atelier · "&amp;ROUND(Hypothèses!$D$27*$B$1,0)&amp;" Horizon · "&amp;ROUND(Hypothèses!$D$28*$B$1,0)&amp;" Enverg. · "&amp;ROUND(Hypothèses!$D$29*$B$1,0)&amp;" Rayonn."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Scénario</t>
        </is>
      </c>
      <c r="B1" s="1" t="inlineStr">
        <is>
          <t>CA HT A1</t>
        </is>
      </c>
      <c r="C1" s="1" t="inlineStr">
        <is>
          <t>EBITDA A1</t>
        </is>
      </c>
      <c r="D1" s="1" t="inlineStr">
        <is>
          <t>CA HT A2</t>
        </is>
      </c>
      <c r="E1" s="1" t="inlineStr">
        <is>
          <t>EBITDA A2</t>
        </is>
      </c>
      <c r="F1" s="1" t="inlineStr">
        <is>
          <t>CA HT A3</t>
        </is>
      </c>
      <c r="G1" s="1" t="inlineStr">
        <is>
          <t>EBITDA A3</t>
        </is>
      </c>
      <c r="H1" s="1" t="inlineStr">
        <is>
          <t>Trésorerie A3</t>
        </is>
      </c>
      <c r="I1" s="1" t="inlineStr">
        <is>
          <t>Dev A3/mois</t>
        </is>
      </c>
    </row>
    <row r="2">
      <c r="A2" t="inlineStr">
        <is>
          <t>Prudent (-30%)</t>
        </is>
      </c>
      <c r="B2">
        <f>'Prudent (-30%)'!B43</f>
        <v/>
      </c>
      <c r="C2">
        <f>'Prudent (-30%)'!C43</f>
        <v/>
      </c>
      <c r="D2">
        <f>'Prudent (-30%)'!B44</f>
        <v/>
      </c>
      <c r="E2">
        <f>'Prudent (-30%)'!C44</f>
        <v/>
      </c>
      <c r="F2">
        <f>'Prudent (-30%)'!B45</f>
        <v/>
      </c>
      <c r="G2">
        <f>'Prudent (-30%)'!C45</f>
        <v/>
      </c>
      <c r="H2">
        <f>'Prudent (-30%)'!E45</f>
        <v/>
      </c>
      <c r="I2">
        <f>'Prudent (-30%)'!S39</f>
        <v/>
      </c>
    </row>
    <row r="3">
      <c r="A3" t="inlineStr">
        <is>
          <t>Base</t>
        </is>
      </c>
      <c r="B3">
        <f>Base!B43</f>
        <v/>
      </c>
      <c r="C3">
        <f>Base!C43</f>
        <v/>
      </c>
      <c r="D3">
        <f>Base!B44</f>
        <v/>
      </c>
      <c r="E3">
        <f>Base!C44</f>
        <v/>
      </c>
      <c r="F3">
        <f>Base!B45</f>
        <v/>
      </c>
      <c r="G3">
        <f>Base!C45</f>
        <v/>
      </c>
      <c r="H3">
        <f>Base!E45</f>
        <v/>
      </c>
      <c r="I3">
        <f>Base!S39</f>
        <v/>
      </c>
    </row>
    <row r="4">
      <c r="A4" t="inlineStr">
        <is>
          <t>Ambitieux (+30%)</t>
        </is>
      </c>
      <c r="B4">
        <f>'Ambitieux (+30%)'!B43</f>
        <v/>
      </c>
      <c r="C4">
        <f>'Ambitieux (+30%)'!C43</f>
        <v/>
      </c>
      <c r="D4">
        <f>'Ambitieux (+30%)'!B44</f>
        <v/>
      </c>
      <c r="E4">
        <f>'Ambitieux (+30%)'!C44</f>
        <v/>
      </c>
      <c r="F4">
        <f>'Ambitieux (+30%)'!B45</f>
        <v/>
      </c>
      <c r="G4">
        <f>'Ambitieux (+30%)'!C45</f>
        <v/>
      </c>
      <c r="H4">
        <f>'Ambitieux (+30%)'!E45</f>
        <v/>
      </c>
      <c r="I4">
        <f>'Ambitieux (+30%)'!S39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2026-07-20T14:27:07Z</dcterms:created>
  <dcterms:modified xmlns:dcterms="http://purl.org/dc/terms/" xmlns:xsi="http://www.w3.org/2001/XMLSchema-instance" xsi:type="dcterms:W3CDTF">2026-07-20T14:27:07Z</dcterms:modified>
</cp:coreProperties>
</file>