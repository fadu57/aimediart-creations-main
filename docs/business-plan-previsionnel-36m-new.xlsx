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Dev\aimediart-creations-main\aimediart-creations-main\docs\"/>
    </mc:Choice>
  </mc:AlternateContent>
  <xr:revisionPtr revIDLastSave="0" documentId="13_ncr:1_{75B26EDB-D68C-492D-A5F8-DEB9959EF13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Hypothèses" sheetId="1" r:id="rId1"/>
    <sheet name="Prudent (-30%)" sheetId="2" r:id="rId2"/>
    <sheet name="Base" sheetId="3" r:id="rId3"/>
    <sheet name="Ambitieux (+30%)" sheetId="4" r:id="rId4"/>
    <sheet name="Comparatif annue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5" l="1"/>
  <c r="A48" i="4"/>
  <c r="S39" i="4"/>
  <c r="I4" i="5" s="1"/>
  <c r="R39" i="4"/>
  <c r="K39" i="4"/>
  <c r="J39" i="4"/>
  <c r="F39" i="4" s="1"/>
  <c r="B39" i="4"/>
  <c r="S38" i="4"/>
  <c r="R38" i="4"/>
  <c r="K38" i="4"/>
  <c r="H38" i="4"/>
  <c r="B38" i="4"/>
  <c r="J38" i="4" s="1"/>
  <c r="S37" i="4"/>
  <c r="R37" i="4"/>
  <c r="K37" i="4"/>
  <c r="B37" i="4"/>
  <c r="S36" i="4"/>
  <c r="R36" i="4"/>
  <c r="K36" i="4"/>
  <c r="I36" i="4"/>
  <c r="H36" i="4"/>
  <c r="G36" i="4"/>
  <c r="B36" i="4"/>
  <c r="J36" i="4" s="1"/>
  <c r="S35" i="4"/>
  <c r="R35" i="4"/>
  <c r="K35" i="4"/>
  <c r="J35" i="4"/>
  <c r="G35" i="4"/>
  <c r="B35" i="4"/>
  <c r="S34" i="4"/>
  <c r="R34" i="4"/>
  <c r="K34" i="4"/>
  <c r="H34" i="4"/>
  <c r="B34" i="4"/>
  <c r="J34" i="4" s="1"/>
  <c r="S33" i="4"/>
  <c r="R33" i="4"/>
  <c r="K33" i="4"/>
  <c r="J33" i="4"/>
  <c r="I33" i="4"/>
  <c r="B33" i="4"/>
  <c r="G33" i="4" s="1"/>
  <c r="S32" i="4"/>
  <c r="R32" i="4"/>
  <c r="K32" i="4"/>
  <c r="I32" i="4"/>
  <c r="H32" i="4"/>
  <c r="G32" i="4"/>
  <c r="B32" i="4"/>
  <c r="J32" i="4" s="1"/>
  <c r="S31" i="4"/>
  <c r="R31" i="4"/>
  <c r="K31" i="4"/>
  <c r="B31" i="4"/>
  <c r="S30" i="4"/>
  <c r="R30" i="4"/>
  <c r="K30" i="4"/>
  <c r="J30" i="4"/>
  <c r="H30" i="4"/>
  <c r="B30" i="4"/>
  <c r="S29" i="4"/>
  <c r="R29" i="4"/>
  <c r="K29" i="4"/>
  <c r="J29" i="4"/>
  <c r="I29" i="4"/>
  <c r="H29" i="4"/>
  <c r="F29" i="4"/>
  <c r="F30" i="4" s="1"/>
  <c r="B29" i="4"/>
  <c r="G29" i="4" s="1"/>
  <c r="S28" i="4"/>
  <c r="R28" i="4"/>
  <c r="K28" i="4"/>
  <c r="I28" i="4"/>
  <c r="H28" i="4"/>
  <c r="G28" i="4"/>
  <c r="B28" i="4"/>
  <c r="J28" i="4" s="1"/>
  <c r="S27" i="4"/>
  <c r="R27" i="4"/>
  <c r="K27" i="4"/>
  <c r="J27" i="4"/>
  <c r="G27" i="4"/>
  <c r="C27" i="4" s="1"/>
  <c r="F27" i="4"/>
  <c r="F28" i="4" s="1"/>
  <c r="B27" i="4"/>
  <c r="S26" i="4"/>
  <c r="R26" i="4"/>
  <c r="K26" i="4"/>
  <c r="H26" i="4"/>
  <c r="B26" i="4"/>
  <c r="J26" i="4" s="1"/>
  <c r="S25" i="4"/>
  <c r="R25" i="4"/>
  <c r="K25" i="4"/>
  <c r="B25" i="4"/>
  <c r="S24" i="4"/>
  <c r="R24" i="4"/>
  <c r="K24" i="4"/>
  <c r="B24" i="4"/>
  <c r="S23" i="4"/>
  <c r="R23" i="4"/>
  <c r="K23" i="4"/>
  <c r="J23" i="4"/>
  <c r="I23" i="4"/>
  <c r="H23" i="4"/>
  <c r="B23" i="4"/>
  <c r="G23" i="4" s="1"/>
  <c r="S22" i="4"/>
  <c r="R22" i="4"/>
  <c r="K22" i="4"/>
  <c r="B22" i="4"/>
  <c r="I22" i="4" s="1"/>
  <c r="S21" i="4"/>
  <c r="R21" i="4"/>
  <c r="K21" i="4"/>
  <c r="J21" i="4"/>
  <c r="I21" i="4"/>
  <c r="H21" i="4"/>
  <c r="B21" i="4"/>
  <c r="G21" i="4" s="1"/>
  <c r="S20" i="4"/>
  <c r="R20" i="4"/>
  <c r="K20" i="4"/>
  <c r="I20" i="4"/>
  <c r="B20" i="4"/>
  <c r="J20" i="4" s="1"/>
  <c r="S19" i="4"/>
  <c r="R19" i="4"/>
  <c r="K19" i="4"/>
  <c r="J19" i="4"/>
  <c r="I19" i="4"/>
  <c r="H19" i="4"/>
  <c r="G19" i="4"/>
  <c r="B19" i="4"/>
  <c r="S18" i="4"/>
  <c r="R18" i="4"/>
  <c r="K18" i="4"/>
  <c r="B18" i="4"/>
  <c r="S17" i="4"/>
  <c r="R17" i="4"/>
  <c r="K17" i="4"/>
  <c r="J17" i="4"/>
  <c r="I17" i="4"/>
  <c r="H17" i="4"/>
  <c r="B17" i="4"/>
  <c r="G17" i="4" s="1"/>
  <c r="S16" i="4"/>
  <c r="R16" i="4"/>
  <c r="L16" i="4"/>
  <c r="N16" i="4" s="1"/>
  <c r="K16" i="4"/>
  <c r="J16" i="4"/>
  <c r="I16" i="4"/>
  <c r="H16" i="4"/>
  <c r="C16" i="4"/>
  <c r="B16" i="4"/>
  <c r="G16" i="4" s="1"/>
  <c r="S15" i="4"/>
  <c r="R15" i="4"/>
  <c r="K15" i="4"/>
  <c r="J15" i="4"/>
  <c r="F15" i="4" s="1"/>
  <c r="F16" i="4" s="1"/>
  <c r="I15" i="4"/>
  <c r="H15" i="4"/>
  <c r="D15" i="4" s="1"/>
  <c r="D16" i="4" s="1"/>
  <c r="D17" i="4" s="1"/>
  <c r="G15" i="4"/>
  <c r="C15" i="4" s="1"/>
  <c r="E15" i="4"/>
  <c r="E16" i="4" s="1"/>
  <c r="E17" i="4" s="1"/>
  <c r="B15" i="4"/>
  <c r="S14" i="4"/>
  <c r="R14" i="4"/>
  <c r="K14" i="4"/>
  <c r="B14" i="4"/>
  <c r="S13" i="4"/>
  <c r="R13" i="4"/>
  <c r="K13" i="4"/>
  <c r="I13" i="4"/>
  <c r="H13" i="4"/>
  <c r="B13" i="4"/>
  <c r="G13" i="4" s="1"/>
  <c r="S12" i="4"/>
  <c r="R12" i="4"/>
  <c r="K12" i="4"/>
  <c r="G12" i="4"/>
  <c r="B12" i="4"/>
  <c r="S11" i="4"/>
  <c r="R11" i="4"/>
  <c r="K11" i="4"/>
  <c r="I11" i="4"/>
  <c r="H11" i="4"/>
  <c r="G11" i="4"/>
  <c r="B11" i="4"/>
  <c r="J11" i="4" s="1"/>
  <c r="S10" i="4"/>
  <c r="R10" i="4"/>
  <c r="K10" i="4"/>
  <c r="J10" i="4"/>
  <c r="H10" i="4"/>
  <c r="G10" i="4"/>
  <c r="B10" i="4"/>
  <c r="I10" i="4" s="1"/>
  <c r="S9" i="4"/>
  <c r="R9" i="4"/>
  <c r="K9" i="4"/>
  <c r="B9" i="4"/>
  <c r="H9" i="4" s="1"/>
  <c r="S8" i="4"/>
  <c r="R8" i="4"/>
  <c r="O8" i="4"/>
  <c r="K8" i="4"/>
  <c r="H8" i="4"/>
  <c r="B8" i="4"/>
  <c r="J8" i="4" s="1"/>
  <c r="S7" i="4"/>
  <c r="R7" i="4"/>
  <c r="K7" i="4"/>
  <c r="H7" i="4"/>
  <c r="G7" i="4"/>
  <c r="B7" i="4"/>
  <c r="S6" i="4"/>
  <c r="R6" i="4"/>
  <c r="O6" i="4"/>
  <c r="K6" i="4"/>
  <c r="G6" i="4"/>
  <c r="B6" i="4"/>
  <c r="S5" i="4"/>
  <c r="R5" i="4"/>
  <c r="K5" i="4"/>
  <c r="B5" i="4"/>
  <c r="S4" i="4"/>
  <c r="R4" i="4"/>
  <c r="K4" i="4"/>
  <c r="J4" i="4"/>
  <c r="F4" i="4" s="1"/>
  <c r="B4" i="4"/>
  <c r="D2" i="4"/>
  <c r="B2" i="4"/>
  <c r="O21" i="4" s="1"/>
  <c r="A48" i="3"/>
  <c r="S39" i="3"/>
  <c r="R39" i="3"/>
  <c r="O39" i="3"/>
  <c r="K39" i="3"/>
  <c r="I39" i="3"/>
  <c r="E39" i="3" s="1"/>
  <c r="G39" i="3"/>
  <c r="C39" i="3" s="1"/>
  <c r="B39" i="3"/>
  <c r="S38" i="3"/>
  <c r="R38" i="3"/>
  <c r="K38" i="3"/>
  <c r="B38" i="3"/>
  <c r="S37" i="3"/>
  <c r="R37" i="3"/>
  <c r="K37" i="3"/>
  <c r="I37" i="3"/>
  <c r="H37" i="3"/>
  <c r="G37" i="3"/>
  <c r="B37" i="3"/>
  <c r="J37" i="3" s="1"/>
  <c r="S36" i="3"/>
  <c r="T36" i="3" s="1"/>
  <c r="R36" i="3"/>
  <c r="K36" i="3"/>
  <c r="I36" i="3"/>
  <c r="H36" i="3"/>
  <c r="G36" i="3"/>
  <c r="B36" i="3"/>
  <c r="J36" i="3" s="1"/>
  <c r="S35" i="3"/>
  <c r="R35" i="3"/>
  <c r="K35" i="3"/>
  <c r="J35" i="3"/>
  <c r="I35" i="3"/>
  <c r="G35" i="3"/>
  <c r="B35" i="3"/>
  <c r="H35" i="3" s="1"/>
  <c r="S34" i="3"/>
  <c r="R34" i="3"/>
  <c r="K34" i="3"/>
  <c r="B34" i="3"/>
  <c r="S33" i="3"/>
  <c r="R33" i="3"/>
  <c r="K33" i="3"/>
  <c r="H33" i="3"/>
  <c r="B33" i="3"/>
  <c r="J33" i="3" s="1"/>
  <c r="S32" i="3"/>
  <c r="R32" i="3"/>
  <c r="K32" i="3"/>
  <c r="I32" i="3"/>
  <c r="H32" i="3"/>
  <c r="G32" i="3"/>
  <c r="B32" i="3"/>
  <c r="J32" i="3" s="1"/>
  <c r="S31" i="3"/>
  <c r="R31" i="3"/>
  <c r="K31" i="3"/>
  <c r="J31" i="3"/>
  <c r="I31" i="3"/>
  <c r="G31" i="3"/>
  <c r="B31" i="3"/>
  <c r="H31" i="3" s="1"/>
  <c r="S30" i="3"/>
  <c r="R30" i="3"/>
  <c r="K30" i="3"/>
  <c r="J30" i="3"/>
  <c r="I30" i="3"/>
  <c r="H30" i="3"/>
  <c r="B30" i="3"/>
  <c r="G30" i="3" s="1"/>
  <c r="S29" i="3"/>
  <c r="R29" i="3"/>
  <c r="O29" i="3"/>
  <c r="K29" i="3"/>
  <c r="I29" i="3"/>
  <c r="H29" i="3"/>
  <c r="G29" i="3"/>
  <c r="B29" i="3"/>
  <c r="J29" i="3" s="1"/>
  <c r="S28" i="3"/>
  <c r="R28" i="3"/>
  <c r="K28" i="3"/>
  <c r="G28" i="3"/>
  <c r="B28" i="3"/>
  <c r="J28" i="3" s="1"/>
  <c r="S27" i="3"/>
  <c r="R27" i="3"/>
  <c r="K27" i="3"/>
  <c r="I27" i="3"/>
  <c r="E27" i="3"/>
  <c r="B27" i="3"/>
  <c r="J27" i="3" s="1"/>
  <c r="F27" i="3" s="1"/>
  <c r="F28" i="3" s="1"/>
  <c r="F29" i="3" s="1"/>
  <c r="F30" i="3" s="1"/>
  <c r="F31" i="3" s="1"/>
  <c r="F32" i="3" s="1"/>
  <c r="F33" i="3" s="1"/>
  <c r="S26" i="3"/>
  <c r="R26" i="3"/>
  <c r="O26" i="3"/>
  <c r="K26" i="3"/>
  <c r="I26" i="3"/>
  <c r="H26" i="3"/>
  <c r="G26" i="3"/>
  <c r="B26" i="3"/>
  <c r="J26" i="3" s="1"/>
  <c r="S25" i="3"/>
  <c r="R25" i="3"/>
  <c r="O25" i="3"/>
  <c r="K25" i="3"/>
  <c r="I25" i="3"/>
  <c r="H25" i="3"/>
  <c r="G25" i="3"/>
  <c r="B25" i="3"/>
  <c r="J25" i="3" s="1"/>
  <c r="S24" i="3"/>
  <c r="R24" i="3"/>
  <c r="K24" i="3"/>
  <c r="G24" i="3"/>
  <c r="B24" i="3"/>
  <c r="J24" i="3" s="1"/>
  <c r="S23" i="3"/>
  <c r="R23" i="3"/>
  <c r="K23" i="3"/>
  <c r="B23" i="3"/>
  <c r="S22" i="3"/>
  <c r="R22" i="3"/>
  <c r="O22" i="3"/>
  <c r="K22" i="3"/>
  <c r="I22" i="3"/>
  <c r="H22" i="3"/>
  <c r="G22" i="3"/>
  <c r="B22" i="3"/>
  <c r="J22" i="3" s="1"/>
  <c r="S21" i="3"/>
  <c r="R21" i="3"/>
  <c r="K21" i="3"/>
  <c r="I21" i="3"/>
  <c r="H21" i="3"/>
  <c r="G21" i="3"/>
  <c r="B21" i="3"/>
  <c r="J21" i="3" s="1"/>
  <c r="S20" i="3"/>
  <c r="R20" i="3"/>
  <c r="K20" i="3"/>
  <c r="G20" i="3"/>
  <c r="B20" i="3"/>
  <c r="J20" i="3" s="1"/>
  <c r="S19" i="3"/>
  <c r="R19" i="3"/>
  <c r="K19" i="3"/>
  <c r="J19" i="3"/>
  <c r="B19" i="3"/>
  <c r="S18" i="3"/>
  <c r="R18" i="3"/>
  <c r="K18" i="3"/>
  <c r="I18" i="3"/>
  <c r="H18" i="3"/>
  <c r="G18" i="3"/>
  <c r="B18" i="3"/>
  <c r="J18" i="3" s="1"/>
  <c r="S17" i="3"/>
  <c r="R17" i="3"/>
  <c r="O17" i="3"/>
  <c r="K17" i="3"/>
  <c r="I17" i="3"/>
  <c r="H17" i="3"/>
  <c r="G17" i="3"/>
  <c r="B17" i="3"/>
  <c r="J17" i="3" s="1"/>
  <c r="S16" i="3"/>
  <c r="R16" i="3"/>
  <c r="O16" i="3"/>
  <c r="K16" i="3"/>
  <c r="G16" i="3"/>
  <c r="B16" i="3"/>
  <c r="J16" i="3" s="1"/>
  <c r="S15" i="3"/>
  <c r="R15" i="3"/>
  <c r="K15" i="3"/>
  <c r="B15" i="3"/>
  <c r="S14" i="3"/>
  <c r="R14" i="3"/>
  <c r="O14" i="3"/>
  <c r="K14" i="3"/>
  <c r="B14" i="3"/>
  <c r="S13" i="3"/>
  <c r="T13" i="3" s="1"/>
  <c r="R13" i="3"/>
  <c r="K13" i="3"/>
  <c r="H13" i="3"/>
  <c r="G13" i="3"/>
  <c r="B13" i="3"/>
  <c r="J13" i="3" s="1"/>
  <c r="S12" i="3"/>
  <c r="T12" i="3" s="1"/>
  <c r="R12" i="3"/>
  <c r="K12" i="3"/>
  <c r="I12" i="3"/>
  <c r="H12" i="3"/>
  <c r="G12" i="3"/>
  <c r="B12" i="3"/>
  <c r="J12" i="3" s="1"/>
  <c r="S11" i="3"/>
  <c r="R11" i="3"/>
  <c r="K11" i="3"/>
  <c r="J11" i="3"/>
  <c r="I11" i="3"/>
  <c r="B11" i="3"/>
  <c r="S10" i="3"/>
  <c r="R10" i="3"/>
  <c r="O10" i="3"/>
  <c r="K10" i="3"/>
  <c r="J10" i="3"/>
  <c r="H10" i="3"/>
  <c r="G10" i="3"/>
  <c r="B10" i="3"/>
  <c r="I10" i="3" s="1"/>
  <c r="S9" i="3"/>
  <c r="T9" i="3" s="1"/>
  <c r="R9" i="3"/>
  <c r="K9" i="3"/>
  <c r="H9" i="3"/>
  <c r="G9" i="3"/>
  <c r="B9" i="3"/>
  <c r="J9" i="3" s="1"/>
  <c r="S8" i="3"/>
  <c r="R8" i="3"/>
  <c r="K8" i="3"/>
  <c r="I8" i="3"/>
  <c r="H8" i="3"/>
  <c r="G8" i="3"/>
  <c r="B8" i="3"/>
  <c r="J8" i="3" s="1"/>
  <c r="T7" i="3"/>
  <c r="S7" i="3"/>
  <c r="R7" i="3"/>
  <c r="K7" i="3"/>
  <c r="J7" i="3"/>
  <c r="I7" i="3"/>
  <c r="B7" i="3"/>
  <c r="S6" i="3"/>
  <c r="R6" i="3"/>
  <c r="O6" i="3"/>
  <c r="K6" i="3"/>
  <c r="J6" i="3"/>
  <c r="H6" i="3"/>
  <c r="B6" i="3"/>
  <c r="I6" i="3" s="1"/>
  <c r="S5" i="3"/>
  <c r="T5" i="3" s="1"/>
  <c r="R5" i="3"/>
  <c r="K5" i="3"/>
  <c r="H5" i="3"/>
  <c r="G5" i="3"/>
  <c r="B5" i="3"/>
  <c r="J5" i="3" s="1"/>
  <c r="S4" i="3"/>
  <c r="T4" i="3" s="1"/>
  <c r="R4" i="3"/>
  <c r="K4" i="3"/>
  <c r="I4" i="3"/>
  <c r="H4" i="3"/>
  <c r="G4" i="3"/>
  <c r="B4" i="3"/>
  <c r="D2" i="3"/>
  <c r="O35" i="3" s="1"/>
  <c r="B2" i="3"/>
  <c r="O21" i="3" s="1"/>
  <c r="A48" i="2"/>
  <c r="S39" i="2"/>
  <c r="R39" i="2"/>
  <c r="K39" i="2"/>
  <c r="J39" i="2"/>
  <c r="F39" i="2" s="1"/>
  <c r="I39" i="2"/>
  <c r="E39" i="2" s="1"/>
  <c r="B39" i="2"/>
  <c r="G39" i="2" s="1"/>
  <c r="C39" i="2" s="1"/>
  <c r="S38" i="2"/>
  <c r="T38" i="2" s="1"/>
  <c r="R38" i="2"/>
  <c r="K38" i="2"/>
  <c r="I38" i="2"/>
  <c r="H38" i="2"/>
  <c r="G38" i="2"/>
  <c r="B38" i="2"/>
  <c r="J38" i="2" s="1"/>
  <c r="S37" i="2"/>
  <c r="R37" i="2"/>
  <c r="K37" i="2"/>
  <c r="B37" i="2"/>
  <c r="H37" i="2" s="1"/>
  <c r="S36" i="2"/>
  <c r="T36" i="2" s="1"/>
  <c r="R36" i="2"/>
  <c r="K36" i="2"/>
  <c r="H36" i="2"/>
  <c r="G36" i="2"/>
  <c r="B36" i="2"/>
  <c r="I36" i="2" s="1"/>
  <c r="S35" i="2"/>
  <c r="T35" i="2" s="1"/>
  <c r="R35" i="2"/>
  <c r="K35" i="2"/>
  <c r="I35" i="2"/>
  <c r="H35" i="2"/>
  <c r="B35" i="2"/>
  <c r="G35" i="2" s="1"/>
  <c r="S34" i="2"/>
  <c r="T34" i="2" s="1"/>
  <c r="R34" i="2"/>
  <c r="K34" i="2"/>
  <c r="I34" i="2"/>
  <c r="H34" i="2"/>
  <c r="G34" i="2"/>
  <c r="B34" i="2"/>
  <c r="J34" i="2" s="1"/>
  <c r="T33" i="2"/>
  <c r="S33" i="2"/>
  <c r="R33" i="2"/>
  <c r="K33" i="2"/>
  <c r="B33" i="2"/>
  <c r="S32" i="2"/>
  <c r="R32" i="2"/>
  <c r="K32" i="2"/>
  <c r="B32" i="2"/>
  <c r="S31" i="2"/>
  <c r="R31" i="2"/>
  <c r="K31" i="2"/>
  <c r="B31" i="2"/>
  <c r="S30" i="2"/>
  <c r="R30" i="2"/>
  <c r="K30" i="2"/>
  <c r="I30" i="2"/>
  <c r="H30" i="2"/>
  <c r="G30" i="2"/>
  <c r="B30" i="2"/>
  <c r="J30" i="2" s="1"/>
  <c r="T29" i="2"/>
  <c r="S29" i="2"/>
  <c r="R29" i="2"/>
  <c r="K29" i="2"/>
  <c r="B29" i="2"/>
  <c r="J29" i="2" s="1"/>
  <c r="T28" i="2"/>
  <c r="S28" i="2"/>
  <c r="R28" i="2"/>
  <c r="K28" i="2"/>
  <c r="J28" i="2"/>
  <c r="B28" i="2"/>
  <c r="S27" i="2"/>
  <c r="R27" i="2"/>
  <c r="K27" i="2"/>
  <c r="H27" i="2"/>
  <c r="D27" i="2"/>
  <c r="C27" i="2"/>
  <c r="B27" i="2"/>
  <c r="G27" i="2" s="1"/>
  <c r="T26" i="2"/>
  <c r="S26" i="2"/>
  <c r="R26" i="2"/>
  <c r="K26" i="2"/>
  <c r="J26" i="2"/>
  <c r="I26" i="2"/>
  <c r="B26" i="2"/>
  <c r="G26" i="2" s="1"/>
  <c r="S25" i="2"/>
  <c r="R25" i="2"/>
  <c r="K25" i="2"/>
  <c r="H25" i="2"/>
  <c r="G25" i="2"/>
  <c r="B25" i="2"/>
  <c r="J25" i="2" s="1"/>
  <c r="S24" i="2"/>
  <c r="T24" i="2" s="1"/>
  <c r="R24" i="2"/>
  <c r="K24" i="2"/>
  <c r="J24" i="2"/>
  <c r="H24" i="2"/>
  <c r="B24" i="2"/>
  <c r="S23" i="2"/>
  <c r="R23" i="2"/>
  <c r="K23" i="2"/>
  <c r="B23" i="2"/>
  <c r="G23" i="2" s="1"/>
  <c r="S22" i="2"/>
  <c r="T22" i="2" s="1"/>
  <c r="R22" i="2"/>
  <c r="K22" i="2"/>
  <c r="J22" i="2"/>
  <c r="I22" i="2"/>
  <c r="H22" i="2"/>
  <c r="G22" i="2"/>
  <c r="B22" i="2"/>
  <c r="T21" i="2"/>
  <c r="S21" i="2"/>
  <c r="R21" i="2"/>
  <c r="K21" i="2"/>
  <c r="G21" i="2"/>
  <c r="B21" i="2"/>
  <c r="I21" i="2" s="1"/>
  <c r="S20" i="2"/>
  <c r="T20" i="2" s="1"/>
  <c r="R20" i="2"/>
  <c r="K20" i="2"/>
  <c r="B20" i="2"/>
  <c r="S19" i="2"/>
  <c r="T19" i="2" s="1"/>
  <c r="R19" i="2"/>
  <c r="K19" i="2"/>
  <c r="I19" i="2"/>
  <c r="H19" i="2"/>
  <c r="B19" i="2"/>
  <c r="G19" i="2" s="1"/>
  <c r="S18" i="2"/>
  <c r="R18" i="2"/>
  <c r="K18" i="2"/>
  <c r="I18" i="2"/>
  <c r="H18" i="2"/>
  <c r="G18" i="2"/>
  <c r="B18" i="2"/>
  <c r="J18" i="2" s="1"/>
  <c r="T17" i="2"/>
  <c r="S17" i="2"/>
  <c r="R17" i="2"/>
  <c r="K17" i="2"/>
  <c r="G17" i="2"/>
  <c r="B17" i="2"/>
  <c r="I17" i="2" s="1"/>
  <c r="S16" i="2"/>
  <c r="T16" i="2" s="1"/>
  <c r="R16" i="2"/>
  <c r="K16" i="2"/>
  <c r="J16" i="2"/>
  <c r="B16" i="2"/>
  <c r="S15" i="2"/>
  <c r="T15" i="2" s="1"/>
  <c r="R15" i="2"/>
  <c r="K15" i="2"/>
  <c r="J15" i="2"/>
  <c r="F15" i="2" s="1"/>
  <c r="I15" i="2"/>
  <c r="E15" i="2" s="1"/>
  <c r="H15" i="2"/>
  <c r="D15" i="2" s="1"/>
  <c r="C15" i="2"/>
  <c r="B15" i="2"/>
  <c r="G15" i="2" s="1"/>
  <c r="S14" i="2"/>
  <c r="R14" i="2"/>
  <c r="K14" i="2"/>
  <c r="I14" i="2"/>
  <c r="H14" i="2"/>
  <c r="G14" i="2"/>
  <c r="B14" i="2"/>
  <c r="J14" i="2" s="1"/>
  <c r="T13" i="2"/>
  <c r="S13" i="2"/>
  <c r="R13" i="2"/>
  <c r="K13" i="2"/>
  <c r="G13" i="2"/>
  <c r="B13" i="2"/>
  <c r="I13" i="2" s="1"/>
  <c r="S12" i="2"/>
  <c r="T12" i="2" s="1"/>
  <c r="R12" i="2"/>
  <c r="K12" i="2"/>
  <c r="B12" i="2"/>
  <c r="J12" i="2" s="1"/>
  <c r="S11" i="2"/>
  <c r="T11" i="2" s="1"/>
  <c r="R11" i="2"/>
  <c r="K11" i="2"/>
  <c r="I11" i="2"/>
  <c r="H11" i="2"/>
  <c r="G11" i="2"/>
  <c r="B11" i="2"/>
  <c r="J11" i="2" s="1"/>
  <c r="S10" i="2"/>
  <c r="R10" i="2"/>
  <c r="K10" i="2"/>
  <c r="I10" i="2"/>
  <c r="H10" i="2"/>
  <c r="G10" i="2"/>
  <c r="B10" i="2"/>
  <c r="J10" i="2" s="1"/>
  <c r="S9" i="2"/>
  <c r="T9" i="2" s="1"/>
  <c r="R9" i="2"/>
  <c r="K9" i="2"/>
  <c r="G9" i="2"/>
  <c r="B9" i="2"/>
  <c r="I9" i="2" s="1"/>
  <c r="S8" i="2"/>
  <c r="T8" i="2" s="1"/>
  <c r="R8" i="2"/>
  <c r="K8" i="2"/>
  <c r="I8" i="2"/>
  <c r="B8" i="2"/>
  <c r="J8" i="2" s="1"/>
  <c r="S7" i="2"/>
  <c r="T7" i="2" s="1"/>
  <c r="R7" i="2"/>
  <c r="K7" i="2"/>
  <c r="B7" i="2"/>
  <c r="J7" i="2" s="1"/>
  <c r="S6" i="2"/>
  <c r="T6" i="2" s="1"/>
  <c r="R6" i="2"/>
  <c r="K6" i="2"/>
  <c r="I6" i="2"/>
  <c r="H6" i="2"/>
  <c r="G6" i="2"/>
  <c r="B6" i="2"/>
  <c r="J6" i="2" s="1"/>
  <c r="T5" i="2"/>
  <c r="S5" i="2"/>
  <c r="R5" i="2"/>
  <c r="K5" i="2"/>
  <c r="G5" i="2"/>
  <c r="B5" i="2"/>
  <c r="I5" i="2" s="1"/>
  <c r="S4" i="2"/>
  <c r="T4" i="2" s="1"/>
  <c r="R4" i="2"/>
  <c r="K4" i="2"/>
  <c r="B4" i="2"/>
  <c r="D2" i="2"/>
  <c r="O17" i="2" s="1"/>
  <c r="B2" i="2"/>
  <c r="O21" i="2" s="1"/>
  <c r="B17" i="1"/>
  <c r="T11" i="3" s="1"/>
  <c r="C28" i="2" l="1"/>
  <c r="O32" i="2"/>
  <c r="D44" i="2"/>
  <c r="G4" i="2"/>
  <c r="C4" i="2" s="1"/>
  <c r="H4" i="2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G20" i="2"/>
  <c r="I20" i="2"/>
  <c r="H20" i="2"/>
  <c r="O30" i="2"/>
  <c r="I32" i="2"/>
  <c r="H32" i="2"/>
  <c r="G32" i="2"/>
  <c r="J32" i="2"/>
  <c r="I29" i="2"/>
  <c r="G7" i="2"/>
  <c r="J19" i="2"/>
  <c r="O36" i="2"/>
  <c r="O39" i="2"/>
  <c r="O35" i="2"/>
  <c r="O31" i="2"/>
  <c r="O27" i="2"/>
  <c r="O23" i="2"/>
  <c r="O20" i="2"/>
  <c r="O16" i="2"/>
  <c r="O12" i="2"/>
  <c r="O8" i="2"/>
  <c r="O4" i="2"/>
  <c r="O38" i="2"/>
  <c r="O33" i="2"/>
  <c r="O28" i="2"/>
  <c r="O22" i="2"/>
  <c r="O19" i="2"/>
  <c r="O15" i="2"/>
  <c r="O11" i="2"/>
  <c r="O34" i="2"/>
  <c r="O29" i="2"/>
  <c r="O26" i="2"/>
  <c r="O24" i="2"/>
  <c r="O7" i="2"/>
  <c r="H7" i="2"/>
  <c r="O14" i="2"/>
  <c r="M15" i="2"/>
  <c r="L15" i="2"/>
  <c r="N15" i="2" s="1"/>
  <c r="I4" i="2"/>
  <c r="E4" i="2" s="1"/>
  <c r="E5" i="2" s="1"/>
  <c r="E6" i="2" s="1"/>
  <c r="I7" i="2"/>
  <c r="G16" i="2"/>
  <c r="I16" i="2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H16" i="2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J20" i="2"/>
  <c r="I24" i="2"/>
  <c r="G24" i="2"/>
  <c r="I28" i="2"/>
  <c r="H28" i="2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G28" i="2"/>
  <c r="H33" i="2"/>
  <c r="G33" i="2"/>
  <c r="J33" i="2"/>
  <c r="I33" i="2"/>
  <c r="L39" i="2"/>
  <c r="N39" i="2" s="1"/>
  <c r="O18" i="2"/>
  <c r="O6" i="2"/>
  <c r="H29" i="2"/>
  <c r="G29" i="2"/>
  <c r="O9" i="2"/>
  <c r="O10" i="2"/>
  <c r="O13" i="2"/>
  <c r="C16" i="2"/>
  <c r="G31" i="2"/>
  <c r="I31" i="2"/>
  <c r="H31" i="2"/>
  <c r="J31" i="2"/>
  <c r="O37" i="2"/>
  <c r="E4" i="3"/>
  <c r="E5" i="3" s="1"/>
  <c r="E6" i="3" s="1"/>
  <c r="E7" i="3" s="1"/>
  <c r="E8" i="3" s="1"/>
  <c r="E9" i="3" s="1"/>
  <c r="E10" i="3" s="1"/>
  <c r="E11" i="3" s="1"/>
  <c r="E12" i="3" s="1"/>
  <c r="E13" i="3" s="1"/>
  <c r="E14" i="3" s="1"/>
  <c r="D4" i="3"/>
  <c r="D5" i="3" s="1"/>
  <c r="D6" i="3" s="1"/>
  <c r="D7" i="3" s="1"/>
  <c r="D8" i="3" s="1"/>
  <c r="D9" i="3" s="1"/>
  <c r="D10" i="3" s="1"/>
  <c r="C4" i="3"/>
  <c r="F34" i="3"/>
  <c r="F35" i="3" s="1"/>
  <c r="F36" i="3" s="1"/>
  <c r="F37" i="3" s="1"/>
  <c r="F38" i="3" s="1"/>
  <c r="O5" i="2"/>
  <c r="G12" i="2"/>
  <c r="I12" i="2"/>
  <c r="H12" i="2"/>
  <c r="J4" i="2"/>
  <c r="G8" i="2"/>
  <c r="H8" i="2"/>
  <c r="F4" i="2"/>
  <c r="F16" i="2"/>
  <c r="F17" i="2" s="1"/>
  <c r="F18" i="2" s="1"/>
  <c r="F19" i="2" s="1"/>
  <c r="F20" i="2" s="1"/>
  <c r="O25" i="2"/>
  <c r="H26" i="2"/>
  <c r="I38" i="3"/>
  <c r="H38" i="3"/>
  <c r="G38" i="3"/>
  <c r="J38" i="3"/>
  <c r="J5" i="2"/>
  <c r="J9" i="2"/>
  <c r="T10" i="2"/>
  <c r="D43" i="2" s="1"/>
  <c r="J13" i="2"/>
  <c r="T14" i="2"/>
  <c r="J17" i="2"/>
  <c r="T18" i="2"/>
  <c r="J21" i="2"/>
  <c r="J23" i="2"/>
  <c r="T27" i="2"/>
  <c r="T32" i="2"/>
  <c r="T37" i="2"/>
  <c r="H39" i="2"/>
  <c r="D39" i="2" s="1"/>
  <c r="M39" i="2" s="1"/>
  <c r="I2" i="5"/>
  <c r="T39" i="2"/>
  <c r="G6" i="3"/>
  <c r="H11" i="3"/>
  <c r="G11" i="3"/>
  <c r="T30" i="3"/>
  <c r="T23" i="2"/>
  <c r="T25" i="2"/>
  <c r="H7" i="3"/>
  <c r="G7" i="3"/>
  <c r="T14" i="4"/>
  <c r="T26" i="4"/>
  <c r="G37" i="2"/>
  <c r="H14" i="3"/>
  <c r="G14" i="3"/>
  <c r="H15" i="3"/>
  <c r="D15" i="3" s="1"/>
  <c r="D16" i="3" s="1"/>
  <c r="D17" i="3" s="1"/>
  <c r="D18" i="3" s="1"/>
  <c r="D19" i="3" s="1"/>
  <c r="D20" i="3" s="1"/>
  <c r="D21" i="3" s="1"/>
  <c r="D22" i="3" s="1"/>
  <c r="G15" i="3"/>
  <c r="C15" i="3" s="1"/>
  <c r="J15" i="3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I15" i="3"/>
  <c r="E15" i="3" s="1"/>
  <c r="T16" i="3"/>
  <c r="D44" i="3" s="1"/>
  <c r="T24" i="3"/>
  <c r="M16" i="4"/>
  <c r="C17" i="4"/>
  <c r="H5" i="2"/>
  <c r="H9" i="2"/>
  <c r="H13" i="2"/>
  <c r="H17" i="2"/>
  <c r="H21" i="2"/>
  <c r="H23" i="2"/>
  <c r="I25" i="2"/>
  <c r="I27" i="2"/>
  <c r="E27" i="2" s="1"/>
  <c r="E28" i="2" s="1"/>
  <c r="J35" i="2"/>
  <c r="J36" i="2"/>
  <c r="I37" i="2"/>
  <c r="I14" i="3"/>
  <c r="T20" i="3"/>
  <c r="T39" i="4"/>
  <c r="T35" i="4"/>
  <c r="T36" i="4"/>
  <c r="T31" i="4"/>
  <c r="T24" i="4"/>
  <c r="T22" i="4"/>
  <c r="T15" i="4"/>
  <c r="T13" i="4"/>
  <c r="T19" i="4"/>
  <c r="T34" i="4"/>
  <c r="T28" i="4"/>
  <c r="T23" i="4"/>
  <c r="T38" i="4"/>
  <c r="T16" i="4"/>
  <c r="D44" i="4" s="1"/>
  <c r="T29" i="3"/>
  <c r="T25" i="3"/>
  <c r="T21" i="3"/>
  <c r="T27" i="4"/>
  <c r="T11" i="4"/>
  <c r="T5" i="4"/>
  <c r="T7" i="4"/>
  <c r="T32" i="4"/>
  <c r="T18" i="4"/>
  <c r="T15" i="3"/>
  <c r="T10" i="3"/>
  <c r="T6" i="3"/>
  <c r="T9" i="4"/>
  <c r="T30" i="4"/>
  <c r="I23" i="2"/>
  <c r="J27" i="2"/>
  <c r="F27" i="2" s="1"/>
  <c r="F28" i="2" s="1"/>
  <c r="F29" i="2" s="1"/>
  <c r="F30" i="2" s="1"/>
  <c r="F31" i="2" s="1"/>
  <c r="F32" i="2" s="1"/>
  <c r="F33" i="2" s="1"/>
  <c r="F34" i="2" s="1"/>
  <c r="T30" i="2"/>
  <c r="D45" i="2" s="1"/>
  <c r="T31" i="2"/>
  <c r="J37" i="2"/>
  <c r="T8" i="3"/>
  <c r="J14" i="3"/>
  <c r="T28" i="3"/>
  <c r="D45" i="3" s="1"/>
  <c r="T34" i="3"/>
  <c r="T38" i="3"/>
  <c r="H23" i="3"/>
  <c r="G23" i="3"/>
  <c r="O28" i="3"/>
  <c r="O38" i="3"/>
  <c r="I6" i="4"/>
  <c r="J6" i="4"/>
  <c r="H6" i="4"/>
  <c r="T6" i="4"/>
  <c r="J24" i="4"/>
  <c r="I24" i="4"/>
  <c r="H24" i="4"/>
  <c r="G24" i="4"/>
  <c r="O5" i="3"/>
  <c r="O9" i="3"/>
  <c r="O13" i="3"/>
  <c r="T18" i="3"/>
  <c r="T23" i="3"/>
  <c r="T32" i="3"/>
  <c r="H34" i="3"/>
  <c r="G34" i="3"/>
  <c r="J12" i="4"/>
  <c r="I12" i="4"/>
  <c r="H12" i="4"/>
  <c r="F17" i="4"/>
  <c r="O4" i="3"/>
  <c r="I5" i="3"/>
  <c r="O8" i="3"/>
  <c r="I9" i="3"/>
  <c r="O12" i="3"/>
  <c r="I13" i="3"/>
  <c r="T17" i="3"/>
  <c r="H19" i="3"/>
  <c r="G19" i="3"/>
  <c r="I23" i="3"/>
  <c r="O24" i="3"/>
  <c r="T26" i="3"/>
  <c r="O31" i="3"/>
  <c r="O33" i="3"/>
  <c r="I34" i="3"/>
  <c r="T8" i="4"/>
  <c r="T19" i="3"/>
  <c r="J23" i="3"/>
  <c r="J34" i="3"/>
  <c r="I3" i="5"/>
  <c r="T39" i="3"/>
  <c r="O37" i="4"/>
  <c r="O33" i="4"/>
  <c r="O29" i="4"/>
  <c r="O25" i="4"/>
  <c r="O17" i="4"/>
  <c r="O13" i="4"/>
  <c r="O9" i="4"/>
  <c r="O5" i="4"/>
  <c r="O38" i="4"/>
  <c r="O34" i="4"/>
  <c r="O30" i="4"/>
  <c r="O26" i="4"/>
  <c r="O39" i="4"/>
  <c r="O36" i="4"/>
  <c r="O28" i="4"/>
  <c r="O27" i="4"/>
  <c r="O23" i="4"/>
  <c r="O35" i="4"/>
  <c r="O12" i="4"/>
  <c r="O10" i="4"/>
  <c r="O16" i="4"/>
  <c r="O14" i="4"/>
  <c r="O32" i="4"/>
  <c r="O31" i="4"/>
  <c r="O20" i="4"/>
  <c r="O18" i="4"/>
  <c r="O24" i="4"/>
  <c r="O15" i="4"/>
  <c r="O4" i="4"/>
  <c r="O22" i="4"/>
  <c r="O11" i="4"/>
  <c r="O7" i="4"/>
  <c r="T10" i="4"/>
  <c r="O32" i="3"/>
  <c r="O30" i="3"/>
  <c r="O27" i="3"/>
  <c r="O23" i="3"/>
  <c r="O19" i="3"/>
  <c r="O15" i="3"/>
  <c r="O36" i="3"/>
  <c r="O34" i="3"/>
  <c r="O7" i="3"/>
  <c r="O11" i="3"/>
  <c r="O18" i="3"/>
  <c r="H27" i="3"/>
  <c r="D27" i="3" s="1"/>
  <c r="G27" i="3"/>
  <c r="C27" i="3" s="1"/>
  <c r="T31" i="3"/>
  <c r="O37" i="3"/>
  <c r="H39" i="3"/>
  <c r="D39" i="3" s="1"/>
  <c r="J39" i="3"/>
  <c r="F39" i="3" s="1"/>
  <c r="M39" i="3" s="1"/>
  <c r="I4" i="4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H4" i="4"/>
  <c r="D4" i="4" s="1"/>
  <c r="G4" i="4"/>
  <c r="C4" i="4" s="1"/>
  <c r="O19" i="4"/>
  <c r="J4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T14" i="3"/>
  <c r="D43" i="3" s="1"/>
  <c r="I19" i="3"/>
  <c r="O20" i="3"/>
  <c r="T22" i="3"/>
  <c r="T27" i="3"/>
  <c r="T35" i="3"/>
  <c r="G5" i="4"/>
  <c r="I5" i="4"/>
  <c r="H5" i="4"/>
  <c r="J5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T12" i="4"/>
  <c r="L15" i="4"/>
  <c r="N15" i="4" s="1"/>
  <c r="M15" i="4"/>
  <c r="P15" i="4" s="1"/>
  <c r="Q15" i="4" s="1"/>
  <c r="T20" i="4"/>
  <c r="I14" i="4"/>
  <c r="G14" i="4"/>
  <c r="I18" i="4"/>
  <c r="E18" i="4" s="1"/>
  <c r="E19" i="4" s="1"/>
  <c r="E20" i="4" s="1"/>
  <c r="E21" i="4" s="1"/>
  <c r="E22" i="4" s="1"/>
  <c r="E23" i="4" s="1"/>
  <c r="E24" i="4" s="1"/>
  <c r="E25" i="4" s="1"/>
  <c r="E26" i="4" s="1"/>
  <c r="H18" i="4"/>
  <c r="D18" i="4" s="1"/>
  <c r="D19" i="4" s="1"/>
  <c r="D20" i="4" s="1"/>
  <c r="D21" i="4" s="1"/>
  <c r="D22" i="4" s="1"/>
  <c r="D23" i="4" s="1"/>
  <c r="D24" i="4" s="1"/>
  <c r="D25" i="4" s="1"/>
  <c r="D26" i="4" s="1"/>
  <c r="G18" i="4"/>
  <c r="C28" i="4"/>
  <c r="G33" i="3"/>
  <c r="G8" i="4"/>
  <c r="T29" i="4"/>
  <c r="D45" i="4" s="1"/>
  <c r="H37" i="4"/>
  <c r="G37" i="4"/>
  <c r="I37" i="4"/>
  <c r="J37" i="4"/>
  <c r="H16" i="3"/>
  <c r="H20" i="3"/>
  <c r="H24" i="3"/>
  <c r="H28" i="3"/>
  <c r="I33" i="3"/>
  <c r="T37" i="3"/>
  <c r="I8" i="4"/>
  <c r="H14" i="4"/>
  <c r="J18" i="4"/>
  <c r="G25" i="4"/>
  <c r="J25" i="4"/>
  <c r="I25" i="4"/>
  <c r="H25" i="4"/>
  <c r="I16" i="3"/>
  <c r="I20" i="3"/>
  <c r="I24" i="3"/>
  <c r="I28" i="3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T33" i="3"/>
  <c r="G9" i="4"/>
  <c r="J9" i="4"/>
  <c r="I9" i="4"/>
  <c r="J14" i="4"/>
  <c r="I31" i="4"/>
  <c r="H31" i="4"/>
  <c r="J31" i="4"/>
  <c r="F31" i="4" s="1"/>
  <c r="F32" i="4" s="1"/>
  <c r="F33" i="4" s="1"/>
  <c r="F34" i="4" s="1"/>
  <c r="F35" i="4" s="1"/>
  <c r="F36" i="4" s="1"/>
  <c r="F37" i="4" s="1"/>
  <c r="F38" i="4" s="1"/>
  <c r="G31" i="4"/>
  <c r="T4" i="4"/>
  <c r="D43" i="4" s="1"/>
  <c r="J7" i="4"/>
  <c r="I7" i="4"/>
  <c r="T17" i="4"/>
  <c r="H20" i="4"/>
  <c r="G20" i="4"/>
  <c r="T21" i="4"/>
  <c r="G22" i="4"/>
  <c r="I30" i="4"/>
  <c r="G30" i="4"/>
  <c r="J13" i="4"/>
  <c r="H22" i="4"/>
  <c r="T25" i="4"/>
  <c r="I27" i="4"/>
  <c r="E27" i="4" s="1"/>
  <c r="E28" i="4" s="1"/>
  <c r="E29" i="4" s="1"/>
  <c r="E30" i="4" s="1"/>
  <c r="E31" i="4" s="1"/>
  <c r="E32" i="4" s="1"/>
  <c r="E33" i="4" s="1"/>
  <c r="E34" i="4" s="1"/>
  <c r="E35" i="4" s="1"/>
  <c r="E36" i="4" s="1"/>
  <c r="E37" i="4" s="1"/>
  <c r="E38" i="4" s="1"/>
  <c r="H27" i="4"/>
  <c r="D27" i="4" s="1"/>
  <c r="D28" i="4" s="1"/>
  <c r="D29" i="4" s="1"/>
  <c r="D30" i="4" s="1"/>
  <c r="I39" i="4"/>
  <c r="E39" i="4" s="1"/>
  <c r="H39" i="4"/>
  <c r="D39" i="4" s="1"/>
  <c r="J22" i="4"/>
  <c r="I35" i="4"/>
  <c r="H35" i="4"/>
  <c r="I26" i="4"/>
  <c r="G26" i="4"/>
  <c r="H33" i="4"/>
  <c r="T33" i="4"/>
  <c r="T37" i="4"/>
  <c r="G39" i="4"/>
  <c r="C39" i="4" s="1"/>
  <c r="G34" i="4"/>
  <c r="G38" i="4"/>
  <c r="I34" i="4"/>
  <c r="I38" i="4"/>
  <c r="F35" i="2" l="1"/>
  <c r="F36" i="2" s="1"/>
  <c r="F37" i="2" s="1"/>
  <c r="F38" i="2" s="1"/>
  <c r="E16" i="3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M27" i="4"/>
  <c r="C17" i="2"/>
  <c r="M16" i="2"/>
  <c r="P16" i="2" s="1"/>
  <c r="Q16" i="2" s="1"/>
  <c r="L16" i="2"/>
  <c r="N16" i="2" s="1"/>
  <c r="F21" i="2"/>
  <c r="F22" i="2" s="1"/>
  <c r="F23" i="2" s="1"/>
  <c r="F24" i="2" s="1"/>
  <c r="F25" i="2" s="1"/>
  <c r="F26" i="2" s="1"/>
  <c r="E7" i="2"/>
  <c r="E8" i="2" s="1"/>
  <c r="E9" i="2" s="1"/>
  <c r="E10" i="2" s="1"/>
  <c r="E11" i="2" s="1"/>
  <c r="E12" i="2" s="1"/>
  <c r="E13" i="2" s="1"/>
  <c r="E14" i="2" s="1"/>
  <c r="L39" i="4"/>
  <c r="N39" i="4" s="1"/>
  <c r="M39" i="4"/>
  <c r="C16" i="3"/>
  <c r="M15" i="3"/>
  <c r="L15" i="3"/>
  <c r="N15" i="3" s="1"/>
  <c r="L39" i="3"/>
  <c r="N39" i="3" s="1"/>
  <c r="P39" i="3" s="1"/>
  <c r="Q39" i="3" s="1"/>
  <c r="F5" i="2"/>
  <c r="F6" i="2" s="1"/>
  <c r="F7" i="2" s="1"/>
  <c r="F8" i="2" s="1"/>
  <c r="F9" i="2" s="1"/>
  <c r="F10" i="2" s="1"/>
  <c r="F11" i="2" s="1"/>
  <c r="F12" i="2" s="1"/>
  <c r="F13" i="2" s="1"/>
  <c r="F14" i="2" s="1"/>
  <c r="E29" i="2"/>
  <c r="E30" i="2" s="1"/>
  <c r="E31" i="2" s="1"/>
  <c r="E32" i="2" s="1"/>
  <c r="E33" i="2" s="1"/>
  <c r="E34" i="2" s="1"/>
  <c r="E35" i="2" s="1"/>
  <c r="E36" i="2" s="1"/>
  <c r="E37" i="2" s="1"/>
  <c r="E38" i="2" s="1"/>
  <c r="L17" i="4"/>
  <c r="N17" i="4" s="1"/>
  <c r="C18" i="4"/>
  <c r="M17" i="4"/>
  <c r="M4" i="4"/>
  <c r="L4" i="4"/>
  <c r="N4" i="4" s="1"/>
  <c r="C5" i="4"/>
  <c r="L27" i="3"/>
  <c r="N27" i="3" s="1"/>
  <c r="M27" i="3"/>
  <c r="P27" i="3" s="1"/>
  <c r="Q27" i="3" s="1"/>
  <c r="C28" i="3"/>
  <c r="P16" i="4"/>
  <c r="Q16" i="4" s="1"/>
  <c r="D23" i="3"/>
  <c r="D24" i="3" s="1"/>
  <c r="D25" i="3" s="1"/>
  <c r="D26" i="3" s="1"/>
  <c r="P15" i="2"/>
  <c r="Q15" i="2" s="1"/>
  <c r="D31" i="4"/>
  <c r="D32" i="4" s="1"/>
  <c r="D33" i="4" s="1"/>
  <c r="D34" i="4" s="1"/>
  <c r="D35" i="4" s="1"/>
  <c r="D36" i="4" s="1"/>
  <c r="D37" i="4" s="1"/>
  <c r="D38" i="4" s="1"/>
  <c r="L27" i="4"/>
  <c r="N27" i="4" s="1"/>
  <c r="D5" i="4"/>
  <c r="D6" i="4" s="1"/>
  <c r="D7" i="4" s="1"/>
  <c r="D8" i="4" s="1"/>
  <c r="D9" i="4" s="1"/>
  <c r="D10" i="4" s="1"/>
  <c r="D11" i="4" s="1"/>
  <c r="D12" i="4" s="1"/>
  <c r="D13" i="4" s="1"/>
  <c r="D14" i="4" s="1"/>
  <c r="D28" i="3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C5" i="3"/>
  <c r="M4" i="3"/>
  <c r="P4" i="3" s="1"/>
  <c r="Q4" i="3" s="1"/>
  <c r="L4" i="3"/>
  <c r="N4" i="3" s="1"/>
  <c r="L4" i="2"/>
  <c r="N4" i="2" s="1"/>
  <c r="M4" i="2"/>
  <c r="P4" i="2" s="1"/>
  <c r="Q4" i="2" s="1"/>
  <c r="C5" i="2"/>
  <c r="U15" i="4"/>
  <c r="V15" i="4" s="1"/>
  <c r="P39" i="2"/>
  <c r="Q39" i="2" s="1"/>
  <c r="D11" i="3"/>
  <c r="D12" i="3" s="1"/>
  <c r="D13" i="3" s="1"/>
  <c r="D14" i="3" s="1"/>
  <c r="L27" i="2"/>
  <c r="N27" i="2" s="1"/>
  <c r="C29" i="2"/>
  <c r="L28" i="2"/>
  <c r="N28" i="2" s="1"/>
  <c r="M28" i="2"/>
  <c r="M28" i="4"/>
  <c r="L28" i="4"/>
  <c r="N28" i="4" s="1"/>
  <c r="C29" i="4"/>
  <c r="F18" i="4"/>
  <c r="F19" i="4" s="1"/>
  <c r="F20" i="4" s="1"/>
  <c r="F21" i="4" s="1"/>
  <c r="F22" i="4" s="1"/>
  <c r="F23" i="4" s="1"/>
  <c r="F24" i="4" s="1"/>
  <c r="F25" i="4" s="1"/>
  <c r="F26" i="4" s="1"/>
  <c r="M27" i="2"/>
  <c r="P27" i="2" s="1"/>
  <c r="Q27" i="2" s="1"/>
  <c r="U39" i="3" l="1"/>
  <c r="V39" i="3" s="1"/>
  <c r="U4" i="2"/>
  <c r="V4" i="2" s="1"/>
  <c r="V39" i="2"/>
  <c r="U39" i="2"/>
  <c r="P28" i="4"/>
  <c r="Q28" i="4" s="1"/>
  <c r="L5" i="3"/>
  <c r="N5" i="3" s="1"/>
  <c r="C6" i="3"/>
  <c r="M5" i="3"/>
  <c r="P5" i="3" s="1"/>
  <c r="Q5" i="3" s="1"/>
  <c r="P28" i="2"/>
  <c r="Q28" i="2" s="1"/>
  <c r="C6" i="2"/>
  <c r="M5" i="2"/>
  <c r="P5" i="2" s="1"/>
  <c r="Q5" i="2" s="1"/>
  <c r="L5" i="2"/>
  <c r="N5" i="2" s="1"/>
  <c r="M5" i="4"/>
  <c r="C6" i="4"/>
  <c r="L5" i="4"/>
  <c r="N5" i="4" s="1"/>
  <c r="V16" i="2"/>
  <c r="U16" i="2"/>
  <c r="M29" i="2"/>
  <c r="P29" i="2" s="1"/>
  <c r="Q29" i="2" s="1"/>
  <c r="C30" i="2"/>
  <c r="L29" i="2"/>
  <c r="N29" i="2" s="1"/>
  <c r="U15" i="2"/>
  <c r="V15" i="2"/>
  <c r="P4" i="4"/>
  <c r="Q4" i="4" s="1"/>
  <c r="P15" i="3"/>
  <c r="Q15" i="3" s="1"/>
  <c r="C18" i="2"/>
  <c r="L17" i="2"/>
  <c r="N17" i="2" s="1"/>
  <c r="M17" i="2"/>
  <c r="U27" i="2"/>
  <c r="V27" i="2" s="1"/>
  <c r="P17" i="4"/>
  <c r="Q17" i="4" s="1"/>
  <c r="C17" i="3"/>
  <c r="M16" i="3"/>
  <c r="L16" i="3"/>
  <c r="N16" i="3" s="1"/>
  <c r="P27" i="4"/>
  <c r="Q27" i="4" s="1"/>
  <c r="U4" i="3"/>
  <c r="V4" i="3" s="1"/>
  <c r="U16" i="4"/>
  <c r="V16" i="4"/>
  <c r="C19" i="4"/>
  <c r="L18" i="4"/>
  <c r="N18" i="4" s="1"/>
  <c r="M18" i="4"/>
  <c r="P39" i="4"/>
  <c r="Q39" i="4" s="1"/>
  <c r="M29" i="4"/>
  <c r="L29" i="4"/>
  <c r="N29" i="4" s="1"/>
  <c r="C30" i="4"/>
  <c r="C29" i="3"/>
  <c r="L28" i="3"/>
  <c r="N28" i="3" s="1"/>
  <c r="M28" i="3"/>
  <c r="P28" i="3" s="1"/>
  <c r="Q28" i="3" s="1"/>
  <c r="V27" i="3"/>
  <c r="U27" i="3"/>
  <c r="W4" i="3" l="1"/>
  <c r="W4" i="2"/>
  <c r="V28" i="3"/>
  <c r="U28" i="3"/>
  <c r="C31" i="4"/>
  <c r="M30" i="4"/>
  <c r="L30" i="4"/>
  <c r="N30" i="4" s="1"/>
  <c r="U39" i="4"/>
  <c r="V39" i="4"/>
  <c r="P5" i="4"/>
  <c r="Q5" i="4" s="1"/>
  <c r="U28" i="4"/>
  <c r="V28" i="4" s="1"/>
  <c r="U5" i="2"/>
  <c r="V5" i="2" s="1"/>
  <c r="M19" i="4"/>
  <c r="L19" i="4"/>
  <c r="N19" i="4" s="1"/>
  <c r="C20" i="4"/>
  <c r="U4" i="4"/>
  <c r="V4" i="4"/>
  <c r="P18" i="4"/>
  <c r="Q18" i="4" s="1"/>
  <c r="P17" i="2"/>
  <c r="Q17" i="2" s="1"/>
  <c r="M30" i="2"/>
  <c r="P30" i="2" s="1"/>
  <c r="Q30" i="2" s="1"/>
  <c r="L30" i="2"/>
  <c r="N30" i="2" s="1"/>
  <c r="C31" i="2"/>
  <c r="U27" i="4"/>
  <c r="V27" i="4" s="1"/>
  <c r="M18" i="2"/>
  <c r="P18" i="2" s="1"/>
  <c r="Q18" i="2" s="1"/>
  <c r="L18" i="2"/>
  <c r="N18" i="2" s="1"/>
  <c r="C19" i="2"/>
  <c r="L6" i="2"/>
  <c r="N6" i="2" s="1"/>
  <c r="M6" i="2"/>
  <c r="C7" i="2"/>
  <c r="L29" i="3"/>
  <c r="N29" i="3" s="1"/>
  <c r="M29" i="3"/>
  <c r="P29" i="3" s="1"/>
  <c r="Q29" i="3" s="1"/>
  <c r="C30" i="3"/>
  <c r="P16" i="3"/>
  <c r="Q16" i="3" s="1"/>
  <c r="V15" i="3"/>
  <c r="U15" i="3"/>
  <c r="V28" i="2"/>
  <c r="U28" i="2"/>
  <c r="U5" i="3"/>
  <c r="V5" i="3" s="1"/>
  <c r="U29" i="2"/>
  <c r="V29" i="2" s="1"/>
  <c r="L17" i="3"/>
  <c r="N17" i="3" s="1"/>
  <c r="M17" i="3"/>
  <c r="P17" i="3" s="1"/>
  <c r="Q17" i="3" s="1"/>
  <c r="C18" i="3"/>
  <c r="U17" i="4"/>
  <c r="V17" i="4"/>
  <c r="M6" i="3"/>
  <c r="L6" i="3"/>
  <c r="N6" i="3" s="1"/>
  <c r="C7" i="3"/>
  <c r="P29" i="4"/>
  <c r="Q29" i="4" s="1"/>
  <c r="C7" i="4"/>
  <c r="M6" i="4"/>
  <c r="L6" i="4"/>
  <c r="N6" i="4" s="1"/>
  <c r="M7" i="2" l="1"/>
  <c r="P7" i="2" s="1"/>
  <c r="Q7" i="2" s="1"/>
  <c r="L7" i="2"/>
  <c r="N7" i="2" s="1"/>
  <c r="C8" i="2"/>
  <c r="L31" i="2"/>
  <c r="N31" i="2" s="1"/>
  <c r="M31" i="2"/>
  <c r="P31" i="2" s="1"/>
  <c r="Q31" i="2" s="1"/>
  <c r="C32" i="2"/>
  <c r="U29" i="4"/>
  <c r="V29" i="4" s="1"/>
  <c r="P6" i="2"/>
  <c r="Q6" i="2" s="1"/>
  <c r="M20" i="4"/>
  <c r="C21" i="4"/>
  <c r="L20" i="4"/>
  <c r="N20" i="4" s="1"/>
  <c r="U5" i="4"/>
  <c r="V5" i="4"/>
  <c r="V17" i="3"/>
  <c r="U17" i="3"/>
  <c r="M19" i="2"/>
  <c r="P19" i="2" s="1"/>
  <c r="Q19" i="2" s="1"/>
  <c r="L19" i="2"/>
  <c r="N19" i="2" s="1"/>
  <c r="C20" i="2"/>
  <c r="P6" i="3"/>
  <c r="Q6" i="3" s="1"/>
  <c r="C31" i="3"/>
  <c r="M30" i="3"/>
  <c r="L30" i="3"/>
  <c r="N30" i="3" s="1"/>
  <c r="V18" i="4"/>
  <c r="U18" i="4"/>
  <c r="W5" i="2"/>
  <c r="U16" i="3"/>
  <c r="V16" i="3" s="1"/>
  <c r="V29" i="3"/>
  <c r="U29" i="3"/>
  <c r="U18" i="2"/>
  <c r="V18" i="2" s="1"/>
  <c r="M7" i="3"/>
  <c r="L7" i="3"/>
  <c r="N7" i="3" s="1"/>
  <c r="C8" i="3"/>
  <c r="V17" i="2"/>
  <c r="U17" i="2"/>
  <c r="W4" i="4"/>
  <c r="P30" i="4"/>
  <c r="Q30" i="4" s="1"/>
  <c r="W5" i="3"/>
  <c r="U30" i="2"/>
  <c r="V30" i="2" s="1"/>
  <c r="P19" i="4"/>
  <c r="Q19" i="4" s="1"/>
  <c r="P6" i="4"/>
  <c r="Q6" i="4" s="1"/>
  <c r="C8" i="4"/>
  <c r="M7" i="4"/>
  <c r="L7" i="4"/>
  <c r="N7" i="4" s="1"/>
  <c r="M18" i="3"/>
  <c r="L18" i="3"/>
  <c r="N18" i="3" s="1"/>
  <c r="C19" i="3"/>
  <c r="C32" i="4"/>
  <c r="L31" i="4"/>
  <c r="N31" i="4" s="1"/>
  <c r="M31" i="4"/>
  <c r="P31" i="4" s="1"/>
  <c r="Q31" i="4" s="1"/>
  <c r="C9" i="3" l="1"/>
  <c r="M8" i="3"/>
  <c r="P8" i="3" s="1"/>
  <c r="Q8" i="3" s="1"/>
  <c r="L8" i="3"/>
  <c r="N8" i="3" s="1"/>
  <c r="M32" i="4"/>
  <c r="C33" i="4"/>
  <c r="L32" i="4"/>
  <c r="N32" i="4" s="1"/>
  <c r="U19" i="4"/>
  <c r="V19" i="4"/>
  <c r="U19" i="2"/>
  <c r="V19" i="2"/>
  <c r="U6" i="2"/>
  <c r="V6" i="2" s="1"/>
  <c r="U7" i="2"/>
  <c r="V7" i="2"/>
  <c r="P18" i="3"/>
  <c r="Q18" i="3" s="1"/>
  <c r="L19" i="3"/>
  <c r="N19" i="3" s="1"/>
  <c r="M19" i="3"/>
  <c r="P19" i="3" s="1"/>
  <c r="Q19" i="3" s="1"/>
  <c r="C20" i="3"/>
  <c r="P30" i="3"/>
  <c r="Q30" i="3" s="1"/>
  <c r="L31" i="3"/>
  <c r="N31" i="3" s="1"/>
  <c r="C32" i="3"/>
  <c r="M31" i="3"/>
  <c r="P31" i="3" s="1"/>
  <c r="Q31" i="3" s="1"/>
  <c r="V31" i="2"/>
  <c r="U31" i="2"/>
  <c r="C33" i="2"/>
  <c r="M32" i="2"/>
  <c r="P32" i="2" s="1"/>
  <c r="Q32" i="2" s="1"/>
  <c r="L32" i="2"/>
  <c r="N32" i="2" s="1"/>
  <c r="P7" i="3"/>
  <c r="Q7" i="3" s="1"/>
  <c r="U6" i="3"/>
  <c r="V6" i="3" s="1"/>
  <c r="P7" i="4"/>
  <c r="Q7" i="4" s="1"/>
  <c r="M8" i="4"/>
  <c r="P8" i="4" s="1"/>
  <c r="Q8" i="4" s="1"/>
  <c r="L8" i="4"/>
  <c r="N8" i="4" s="1"/>
  <c r="C9" i="4"/>
  <c r="C21" i="2"/>
  <c r="L20" i="2"/>
  <c r="N20" i="2" s="1"/>
  <c r="M20" i="2"/>
  <c r="P20" i="2" s="1"/>
  <c r="Q20" i="2" s="1"/>
  <c r="M21" i="4"/>
  <c r="L21" i="4"/>
  <c r="N21" i="4" s="1"/>
  <c r="C22" i="4"/>
  <c r="M8" i="2"/>
  <c r="C9" i="2"/>
  <c r="L8" i="2"/>
  <c r="N8" i="2" s="1"/>
  <c r="V30" i="4"/>
  <c r="U30" i="4"/>
  <c r="V31" i="4"/>
  <c r="U31" i="4"/>
  <c r="U6" i="4"/>
  <c r="V6" i="4" s="1"/>
  <c r="W5" i="4"/>
  <c r="P20" i="4"/>
  <c r="Q20" i="4" s="1"/>
  <c r="W6" i="3" l="1"/>
  <c r="W6" i="2"/>
  <c r="W7" i="2" s="1"/>
  <c r="U20" i="4"/>
  <c r="V20" i="4" s="1"/>
  <c r="U7" i="4"/>
  <c r="V7" i="4" s="1"/>
  <c r="C34" i="2"/>
  <c r="M33" i="2"/>
  <c r="L33" i="2"/>
  <c r="N33" i="2" s="1"/>
  <c r="V19" i="3"/>
  <c r="U19" i="3"/>
  <c r="U8" i="3"/>
  <c r="V8" i="3"/>
  <c r="P21" i="4"/>
  <c r="Q21" i="4" s="1"/>
  <c r="L9" i="3"/>
  <c r="N9" i="3" s="1"/>
  <c r="C10" i="3"/>
  <c r="M9" i="3"/>
  <c r="P9" i="3" s="1"/>
  <c r="Q9" i="3" s="1"/>
  <c r="U31" i="3"/>
  <c r="V31" i="3" s="1"/>
  <c r="W6" i="4"/>
  <c r="C22" i="2"/>
  <c r="M21" i="2"/>
  <c r="L21" i="2"/>
  <c r="N21" i="2" s="1"/>
  <c r="L32" i="3"/>
  <c r="N32" i="3" s="1"/>
  <c r="M32" i="3"/>
  <c r="P32" i="3" s="1"/>
  <c r="Q32" i="3" s="1"/>
  <c r="C33" i="3"/>
  <c r="U20" i="2"/>
  <c r="V20" i="2" s="1"/>
  <c r="C10" i="2"/>
  <c r="M9" i="2"/>
  <c r="L9" i="2"/>
  <c r="N9" i="2" s="1"/>
  <c r="M33" i="4"/>
  <c r="P33" i="4" s="1"/>
  <c r="Q33" i="4" s="1"/>
  <c r="L33" i="4"/>
  <c r="N33" i="4" s="1"/>
  <c r="C34" i="4"/>
  <c r="U7" i="3"/>
  <c r="V7" i="3" s="1"/>
  <c r="P8" i="2"/>
  <c r="Q8" i="2" s="1"/>
  <c r="U30" i="3"/>
  <c r="V30" i="3" s="1"/>
  <c r="P32" i="4"/>
  <c r="Q32" i="4" s="1"/>
  <c r="V18" i="3"/>
  <c r="U18" i="3"/>
  <c r="M9" i="4"/>
  <c r="L9" i="4"/>
  <c r="N9" i="4" s="1"/>
  <c r="C10" i="4"/>
  <c r="C23" i="4"/>
  <c r="M22" i="4"/>
  <c r="P22" i="4" s="1"/>
  <c r="Q22" i="4" s="1"/>
  <c r="L22" i="4"/>
  <c r="N22" i="4" s="1"/>
  <c r="U8" i="4"/>
  <c r="V8" i="4"/>
  <c r="U32" i="2"/>
  <c r="V32" i="2" s="1"/>
  <c r="C21" i="3"/>
  <c r="M20" i="3"/>
  <c r="L20" i="3"/>
  <c r="N20" i="3" s="1"/>
  <c r="L33" i="3" l="1"/>
  <c r="N33" i="3" s="1"/>
  <c r="C34" i="3"/>
  <c r="M33" i="3"/>
  <c r="P33" i="3" s="1"/>
  <c r="Q33" i="3" s="1"/>
  <c r="U32" i="3"/>
  <c r="V32" i="3" s="1"/>
  <c r="M22" i="2"/>
  <c r="L22" i="2"/>
  <c r="N22" i="2" s="1"/>
  <c r="C23" i="2"/>
  <c r="W7" i="4"/>
  <c r="W8" i="4" s="1"/>
  <c r="U32" i="4"/>
  <c r="V32" i="4"/>
  <c r="C35" i="4"/>
  <c r="L34" i="4"/>
  <c r="N34" i="4" s="1"/>
  <c r="M34" i="4"/>
  <c r="P34" i="4" s="1"/>
  <c r="Q34" i="4" s="1"/>
  <c r="V22" i="4"/>
  <c r="U22" i="4"/>
  <c r="P20" i="3"/>
  <c r="Q20" i="3" s="1"/>
  <c r="C11" i="4"/>
  <c r="M10" i="4"/>
  <c r="L10" i="4"/>
  <c r="N10" i="4" s="1"/>
  <c r="M10" i="3"/>
  <c r="L10" i="3"/>
  <c r="N10" i="3" s="1"/>
  <c r="C11" i="3"/>
  <c r="P33" i="2"/>
  <c r="Q33" i="2" s="1"/>
  <c r="P9" i="2"/>
  <c r="Q9" i="2" s="1"/>
  <c r="M34" i="2"/>
  <c r="L34" i="2"/>
  <c r="N34" i="2" s="1"/>
  <c r="C35" i="2"/>
  <c r="W7" i="3"/>
  <c r="W8" i="3" s="1"/>
  <c r="M23" i="4"/>
  <c r="P23" i="4" s="1"/>
  <c r="Q23" i="4" s="1"/>
  <c r="L23" i="4"/>
  <c r="N23" i="4" s="1"/>
  <c r="C24" i="4"/>
  <c r="U9" i="3"/>
  <c r="V9" i="3" s="1"/>
  <c r="L21" i="3"/>
  <c r="N21" i="3" s="1"/>
  <c r="C22" i="3"/>
  <c r="M21" i="3"/>
  <c r="P21" i="3" s="1"/>
  <c r="Q21" i="3" s="1"/>
  <c r="P9" i="4"/>
  <c r="Q9" i="4" s="1"/>
  <c r="U8" i="2"/>
  <c r="V8" i="2" s="1"/>
  <c r="W8" i="2" s="1"/>
  <c r="L10" i="2"/>
  <c r="N10" i="2" s="1"/>
  <c r="C11" i="2"/>
  <c r="M10" i="2"/>
  <c r="P10" i="2" s="1"/>
  <c r="Q10" i="2" s="1"/>
  <c r="P21" i="2"/>
  <c r="Q21" i="2" s="1"/>
  <c r="U21" i="4"/>
  <c r="V21" i="4" s="1"/>
  <c r="U33" i="4"/>
  <c r="V33" i="4"/>
  <c r="U23" i="4" l="1"/>
  <c r="V23" i="4" s="1"/>
  <c r="L35" i="2"/>
  <c r="N35" i="2" s="1"/>
  <c r="C36" i="2"/>
  <c r="M35" i="2"/>
  <c r="P35" i="2" s="1"/>
  <c r="Q35" i="2" s="1"/>
  <c r="U21" i="3"/>
  <c r="V21" i="3"/>
  <c r="M22" i="3"/>
  <c r="L22" i="3"/>
  <c r="N22" i="3" s="1"/>
  <c r="C23" i="3"/>
  <c r="M11" i="2"/>
  <c r="L11" i="2"/>
  <c r="N11" i="2" s="1"/>
  <c r="C12" i="2"/>
  <c r="P22" i="2"/>
  <c r="Q22" i="2" s="1"/>
  <c r="P34" i="2"/>
  <c r="Q34" i="2" s="1"/>
  <c r="P10" i="4"/>
  <c r="Q10" i="4" s="1"/>
  <c r="C24" i="2"/>
  <c r="M23" i="2"/>
  <c r="L23" i="2"/>
  <c r="N23" i="2" s="1"/>
  <c r="W9" i="3"/>
  <c r="P10" i="3"/>
  <c r="Q10" i="3" s="1"/>
  <c r="M11" i="4"/>
  <c r="L11" i="4"/>
  <c r="N11" i="4" s="1"/>
  <c r="C12" i="4"/>
  <c r="U33" i="3"/>
  <c r="V33" i="3"/>
  <c r="M11" i="3"/>
  <c r="L11" i="3"/>
  <c r="N11" i="3" s="1"/>
  <c r="C12" i="3"/>
  <c r="U34" i="4"/>
  <c r="V34" i="4" s="1"/>
  <c r="C35" i="3"/>
  <c r="L34" i="3"/>
  <c r="N34" i="3" s="1"/>
  <c r="M34" i="3"/>
  <c r="P34" i="3" s="1"/>
  <c r="Q34" i="3" s="1"/>
  <c r="U21" i="2"/>
  <c r="V21" i="2"/>
  <c r="U10" i="2"/>
  <c r="V10" i="2" s="1"/>
  <c r="L35" i="4"/>
  <c r="N35" i="4" s="1"/>
  <c r="C36" i="4"/>
  <c r="M35" i="4"/>
  <c r="P35" i="4" s="1"/>
  <c r="Q35" i="4" s="1"/>
  <c r="U9" i="2"/>
  <c r="V9" i="2"/>
  <c r="W9" i="2" s="1"/>
  <c r="W10" i="2" s="1"/>
  <c r="M24" i="4"/>
  <c r="C25" i="4"/>
  <c r="L24" i="4"/>
  <c r="N24" i="4" s="1"/>
  <c r="U20" i="3"/>
  <c r="V20" i="3" s="1"/>
  <c r="V9" i="4"/>
  <c r="W9" i="4" s="1"/>
  <c r="U9" i="4"/>
  <c r="U33" i="2"/>
  <c r="V33" i="2"/>
  <c r="M25" i="4" l="1"/>
  <c r="L25" i="4"/>
  <c r="N25" i="4" s="1"/>
  <c r="C26" i="4"/>
  <c r="P11" i="4"/>
  <c r="Q11" i="4" s="1"/>
  <c r="U22" i="2"/>
  <c r="V22" i="2" s="1"/>
  <c r="C13" i="3"/>
  <c r="M12" i="3"/>
  <c r="P12" i="3" s="1"/>
  <c r="Q12" i="3" s="1"/>
  <c r="L12" i="3"/>
  <c r="N12" i="3" s="1"/>
  <c r="V10" i="3"/>
  <c r="W10" i="3" s="1"/>
  <c r="U10" i="3"/>
  <c r="C13" i="2"/>
  <c r="L12" i="2"/>
  <c r="N12" i="2" s="1"/>
  <c r="M12" i="2"/>
  <c r="U35" i="2"/>
  <c r="V35" i="2" s="1"/>
  <c r="C37" i="2"/>
  <c r="M36" i="2"/>
  <c r="L36" i="2"/>
  <c r="N36" i="2" s="1"/>
  <c r="P11" i="3"/>
  <c r="Q11" i="3" s="1"/>
  <c r="P11" i="2"/>
  <c r="Q11" i="2" s="1"/>
  <c r="U34" i="3"/>
  <c r="V34" i="3" s="1"/>
  <c r="P23" i="2"/>
  <c r="Q23" i="2" s="1"/>
  <c r="L23" i="3"/>
  <c r="N23" i="3" s="1"/>
  <c r="M23" i="3"/>
  <c r="P23" i="3" s="1"/>
  <c r="Q23" i="3" s="1"/>
  <c r="C24" i="3"/>
  <c r="P24" i="4"/>
  <c r="Q24" i="4" s="1"/>
  <c r="U35" i="4"/>
  <c r="V35" i="4" s="1"/>
  <c r="C25" i="2"/>
  <c r="M24" i="2"/>
  <c r="L24" i="2"/>
  <c r="N24" i="2" s="1"/>
  <c r="U34" i="2"/>
  <c r="V34" i="2"/>
  <c r="M36" i="4"/>
  <c r="P36" i="4" s="1"/>
  <c r="Q36" i="4" s="1"/>
  <c r="C37" i="4"/>
  <c r="L36" i="4"/>
  <c r="N36" i="4" s="1"/>
  <c r="M35" i="3"/>
  <c r="L35" i="3"/>
  <c r="N35" i="3" s="1"/>
  <c r="C36" i="3"/>
  <c r="M12" i="4"/>
  <c r="C13" i="4"/>
  <c r="L12" i="4"/>
  <c r="N12" i="4" s="1"/>
  <c r="V10" i="4"/>
  <c r="W10" i="4" s="1"/>
  <c r="U10" i="4"/>
  <c r="P22" i="3"/>
  <c r="Q22" i="3" s="1"/>
  <c r="C14" i="2" l="1"/>
  <c r="M13" i="2"/>
  <c r="L13" i="2"/>
  <c r="N13" i="2" s="1"/>
  <c r="M37" i="4"/>
  <c r="P37" i="4" s="1"/>
  <c r="Q37" i="4" s="1"/>
  <c r="L37" i="4"/>
  <c r="N37" i="4" s="1"/>
  <c r="C38" i="4"/>
  <c r="U11" i="2"/>
  <c r="V11" i="2"/>
  <c r="W11" i="2" s="1"/>
  <c r="P12" i="2"/>
  <c r="Q12" i="2" s="1"/>
  <c r="U36" i="4"/>
  <c r="V36" i="4" s="1"/>
  <c r="U24" i="4"/>
  <c r="V24" i="4" s="1"/>
  <c r="V11" i="3"/>
  <c r="W11" i="3" s="1"/>
  <c r="W12" i="3" s="1"/>
  <c r="U11" i="3"/>
  <c r="P36" i="2"/>
  <c r="Q36" i="2" s="1"/>
  <c r="M26" i="4"/>
  <c r="L26" i="4"/>
  <c r="N26" i="4" s="1"/>
  <c r="C37" i="3"/>
  <c r="M36" i="3"/>
  <c r="P36" i="3" s="1"/>
  <c r="Q36" i="3" s="1"/>
  <c r="L36" i="3"/>
  <c r="N36" i="3" s="1"/>
  <c r="C25" i="3"/>
  <c r="L24" i="3"/>
  <c r="N24" i="3" s="1"/>
  <c r="M24" i="3"/>
  <c r="P24" i="3" s="1"/>
  <c r="Q24" i="3" s="1"/>
  <c r="U23" i="3"/>
  <c r="V23" i="3" s="1"/>
  <c r="P24" i="2"/>
  <c r="Q24" i="2" s="1"/>
  <c r="V23" i="2"/>
  <c r="U23" i="2"/>
  <c r="P25" i="4"/>
  <c r="Q25" i="4" s="1"/>
  <c r="M13" i="4"/>
  <c r="L13" i="4"/>
  <c r="N13" i="4" s="1"/>
  <c r="C14" i="4"/>
  <c r="P12" i="4"/>
  <c r="Q12" i="4" s="1"/>
  <c r="P35" i="3"/>
  <c r="Q35" i="3" s="1"/>
  <c r="U12" i="3"/>
  <c r="V12" i="3" s="1"/>
  <c r="U11" i="4"/>
  <c r="V11" i="4" s="1"/>
  <c r="W11" i="4" s="1"/>
  <c r="C38" i="2"/>
  <c r="L37" i="2"/>
  <c r="N37" i="2" s="1"/>
  <c r="M37" i="2"/>
  <c r="P37" i="2" s="1"/>
  <c r="Q37" i="2" s="1"/>
  <c r="U22" i="3"/>
  <c r="V22" i="3" s="1"/>
  <c r="C26" i="2"/>
  <c r="L25" i="2"/>
  <c r="N25" i="2" s="1"/>
  <c r="M25" i="2"/>
  <c r="P25" i="2" s="1"/>
  <c r="Q25" i="2" s="1"/>
  <c r="L13" i="3"/>
  <c r="N13" i="3" s="1"/>
  <c r="C14" i="3"/>
  <c r="M13" i="3"/>
  <c r="P13" i="3" s="1"/>
  <c r="Q13" i="3" s="1"/>
  <c r="U36" i="3" l="1"/>
  <c r="V36" i="3"/>
  <c r="M26" i="2"/>
  <c r="L26" i="2"/>
  <c r="N26" i="2" s="1"/>
  <c r="U25" i="4"/>
  <c r="V25" i="4" s="1"/>
  <c r="L25" i="3"/>
  <c r="N25" i="3" s="1"/>
  <c r="M25" i="3"/>
  <c r="P25" i="3" s="1"/>
  <c r="Q25" i="3" s="1"/>
  <c r="C26" i="3"/>
  <c r="M38" i="4"/>
  <c r="L38" i="4"/>
  <c r="N38" i="4" s="1"/>
  <c r="L37" i="3"/>
  <c r="N37" i="3" s="1"/>
  <c r="M37" i="3"/>
  <c r="P37" i="3" s="1"/>
  <c r="Q37" i="3" s="1"/>
  <c r="C38" i="3"/>
  <c r="U13" i="3"/>
  <c r="V13" i="3" s="1"/>
  <c r="W13" i="3" s="1"/>
  <c r="P13" i="2"/>
  <c r="Q13" i="2" s="1"/>
  <c r="M14" i="3"/>
  <c r="L14" i="3"/>
  <c r="N14" i="3" s="1"/>
  <c r="U37" i="2"/>
  <c r="V37" i="2"/>
  <c r="M14" i="4"/>
  <c r="P14" i="4" s="1"/>
  <c r="Q14" i="4" s="1"/>
  <c r="L14" i="4"/>
  <c r="N14" i="4" s="1"/>
  <c r="P26" i="4"/>
  <c r="Q26" i="4" s="1"/>
  <c r="U12" i="2"/>
  <c r="V12" i="2" s="1"/>
  <c r="W12" i="2" s="1"/>
  <c r="M14" i="2"/>
  <c r="L14" i="2"/>
  <c r="N14" i="2" s="1"/>
  <c r="V24" i="2"/>
  <c r="U24" i="2"/>
  <c r="U12" i="4"/>
  <c r="V12" i="4"/>
  <c r="W12" i="4" s="1"/>
  <c r="U25" i="2"/>
  <c r="V25" i="2" s="1"/>
  <c r="U24" i="3"/>
  <c r="V24" i="3" s="1"/>
  <c r="U36" i="2"/>
  <c r="V36" i="2" s="1"/>
  <c r="U37" i="4"/>
  <c r="V37" i="4" s="1"/>
  <c r="U35" i="3"/>
  <c r="V35" i="3" s="1"/>
  <c r="M38" i="2"/>
  <c r="L38" i="2"/>
  <c r="N38" i="2" s="1"/>
  <c r="P13" i="4"/>
  <c r="Q13" i="4" s="1"/>
  <c r="U14" i="4" l="1"/>
  <c r="V14" i="4" s="1"/>
  <c r="M38" i="3"/>
  <c r="P38" i="3" s="1"/>
  <c r="Q38" i="3" s="1"/>
  <c r="L38" i="3"/>
  <c r="N38" i="3" s="1"/>
  <c r="V37" i="3"/>
  <c r="U37" i="3"/>
  <c r="P26" i="2"/>
  <c r="Q26" i="2" s="1"/>
  <c r="P38" i="4"/>
  <c r="Q38" i="4" s="1"/>
  <c r="P38" i="2"/>
  <c r="Q38" i="2" s="1"/>
  <c r="P14" i="2"/>
  <c r="Q14" i="2" s="1"/>
  <c r="U13" i="2"/>
  <c r="V13" i="2" s="1"/>
  <c r="W13" i="2" s="1"/>
  <c r="M26" i="3"/>
  <c r="P26" i="3" s="1"/>
  <c r="Q26" i="3" s="1"/>
  <c r="L26" i="3"/>
  <c r="N26" i="3" s="1"/>
  <c r="U25" i="3"/>
  <c r="V25" i="3" s="1"/>
  <c r="U13" i="4"/>
  <c r="V13" i="4"/>
  <c r="W13" i="4" s="1"/>
  <c r="W14" i="4" s="1"/>
  <c r="W15" i="4" s="1"/>
  <c r="P14" i="3"/>
  <c r="Q14" i="3" s="1"/>
  <c r="U26" i="4"/>
  <c r="V26" i="4" s="1"/>
  <c r="E43" i="4" l="1"/>
  <c r="W16" i="4"/>
  <c r="W17" i="4" s="1"/>
  <c r="W18" i="4" s="1"/>
  <c r="W19" i="4" s="1"/>
  <c r="W20" i="4" s="1"/>
  <c r="W21" i="4" s="1"/>
  <c r="W22" i="4" s="1"/>
  <c r="W23" i="4" s="1"/>
  <c r="W24" i="4" s="1"/>
  <c r="W25" i="4" s="1"/>
  <c r="W26" i="4" s="1"/>
  <c r="W27" i="4" s="1"/>
  <c r="U38" i="3"/>
  <c r="V38" i="3" s="1"/>
  <c r="B45" i="3"/>
  <c r="F3" i="5" s="1"/>
  <c r="B43" i="3"/>
  <c r="B3" i="5" s="1"/>
  <c r="B44" i="3"/>
  <c r="D3" i="5" s="1"/>
  <c r="U26" i="3"/>
  <c r="V26" i="3" s="1"/>
  <c r="U14" i="2"/>
  <c r="V14" i="2"/>
  <c r="W14" i="2" s="1"/>
  <c r="W15" i="2" s="1"/>
  <c r="U38" i="4"/>
  <c r="V38" i="4" s="1"/>
  <c r="B44" i="4"/>
  <c r="D4" i="5" s="1"/>
  <c r="B45" i="4"/>
  <c r="F4" i="5" s="1"/>
  <c r="B43" i="4"/>
  <c r="B4" i="5" s="1"/>
  <c r="U38" i="2"/>
  <c r="V38" i="2" s="1"/>
  <c r="B45" i="2"/>
  <c r="F2" i="5" s="1"/>
  <c r="B43" i="2"/>
  <c r="B2" i="5" s="1"/>
  <c r="B44" i="2"/>
  <c r="D2" i="5" s="1"/>
  <c r="U26" i="2"/>
  <c r="V26" i="2"/>
  <c r="V14" i="3"/>
  <c r="W14" i="3" s="1"/>
  <c r="W15" i="3" s="1"/>
  <c r="U14" i="3"/>
  <c r="C44" i="4" l="1"/>
  <c r="E4" i="5" s="1"/>
  <c r="C45" i="4"/>
  <c r="G4" i="5" s="1"/>
  <c r="C43" i="4"/>
  <c r="C4" i="5" s="1"/>
  <c r="C45" i="2"/>
  <c r="G2" i="5" s="1"/>
  <c r="C44" i="2"/>
  <c r="E2" i="5" s="1"/>
  <c r="C43" i="2"/>
  <c r="C2" i="5" s="1"/>
  <c r="C45" i="3"/>
  <c r="G3" i="5" s="1"/>
  <c r="C43" i="3"/>
  <c r="C3" i="5" s="1"/>
  <c r="C44" i="3"/>
  <c r="E3" i="5" s="1"/>
  <c r="W16" i="2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E43" i="2"/>
  <c r="E44" i="4"/>
  <c r="W28" i="4"/>
  <c r="W29" i="4" s="1"/>
  <c r="W30" i="4" s="1"/>
  <c r="W31" i="4" s="1"/>
  <c r="W32" i="4" s="1"/>
  <c r="W33" i="4" s="1"/>
  <c r="W34" i="4" s="1"/>
  <c r="W35" i="4" s="1"/>
  <c r="W36" i="4" s="1"/>
  <c r="W37" i="4" s="1"/>
  <c r="W38" i="4" s="1"/>
  <c r="W39" i="4" s="1"/>
  <c r="E45" i="4" s="1"/>
  <c r="H4" i="5" s="1"/>
  <c r="E43" i="3"/>
  <c r="W16" i="3"/>
  <c r="W17" i="3" s="1"/>
  <c r="W18" i="3" s="1"/>
  <c r="W19" i="3" s="1"/>
  <c r="W20" i="3" s="1"/>
  <c r="W21" i="3" s="1"/>
  <c r="W22" i="3" s="1"/>
  <c r="W23" i="3" s="1"/>
  <c r="W24" i="3" s="1"/>
  <c r="W25" i="3" s="1"/>
  <c r="W26" i="3" s="1"/>
  <c r="W27" i="3" s="1"/>
  <c r="W28" i="3" l="1"/>
  <c r="W29" i="3" s="1"/>
  <c r="W30" i="3" s="1"/>
  <c r="W31" i="3" s="1"/>
  <c r="W32" i="3" s="1"/>
  <c r="W33" i="3" s="1"/>
  <c r="W34" i="3" s="1"/>
  <c r="W35" i="3" s="1"/>
  <c r="W36" i="3" s="1"/>
  <c r="W37" i="3" s="1"/>
  <c r="W38" i="3" s="1"/>
  <c r="W39" i="3" s="1"/>
  <c r="E45" i="3" s="1"/>
  <c r="H3" i="5" s="1"/>
  <c r="E44" i="3"/>
  <c r="E44" i="2"/>
  <c r="W28" i="2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E45" i="2" s="1"/>
  <c r="H2" i="5" s="1"/>
</calcChain>
</file>

<file path=xl/sharedStrings.xml><?xml version="1.0" encoding="utf-8"?>
<sst xmlns="http://schemas.openxmlformats.org/spreadsheetml/2006/main" count="157" uniqueCount="76">
  <si>
    <t>Paramètre</t>
  </si>
  <si>
    <t>Valeur</t>
  </si>
  <si>
    <t>Capital initial (€)</t>
  </si>
  <si>
    <t>Frais fixes infra départ (€/mois)</t>
  </si>
  <si>
    <t>Hausse frais fixes / trimestre</t>
  </si>
  <si>
    <t>Frais variables (% CA HT)</t>
  </si>
  <si>
    <t>TVA (%)</t>
  </si>
  <si>
    <t>Churn — début (mois)</t>
  </si>
  <si>
    <t>Churn initial (%/mois)</t>
  </si>
  <si>
    <t>Décroissance churn (%/mois)</t>
  </si>
  <si>
    <t>Rattrapage rampe (%/mois)</t>
  </si>
  <si>
    <t>Prix Atelier TTC (€/mois)</t>
  </si>
  <si>
    <t>Prix Horizon TTC (€/mois)</t>
  </si>
  <si>
    <t>Prix L'Envergure TTC (€/mois)</t>
  </si>
  <si>
    <t>Prix Rayonnement TTC (€/mois)</t>
  </si>
  <si>
    <t>TJM développeur (€ HT)</t>
  </si>
  <si>
    <t>Jours / mois / développeur</t>
  </si>
  <si>
    <t>Coût mensuel / développeur (€ HT)</t>
  </si>
  <si>
    <t>Facturation par année</t>
  </si>
  <si>
    <t>A1</t>
  </si>
  <si>
    <t>A2</t>
  </si>
  <si>
    <t>A3</t>
  </si>
  <si>
    <t>Effectifs cibles fin d'année (base, avant facteur scénario)</t>
  </si>
  <si>
    <t>Plan</t>
  </si>
  <si>
    <t>Fin A1</t>
  </si>
  <si>
    <t>Fin A2</t>
  </si>
  <si>
    <t>Fin A3</t>
  </si>
  <si>
    <t>Atelier</t>
  </si>
  <si>
    <t>Horizon</t>
  </si>
  <si>
    <t>L'Envergure</t>
  </si>
  <si>
    <t>Rayonnement</t>
  </si>
  <si>
    <t>Zénith (contrats)</t>
  </si>
  <si>
    <t>Zénith — montants TTC (base)</t>
  </si>
  <si>
    <t>Mois 18</t>
  </si>
  <si>
    <t>Mois 30/34</t>
  </si>
  <si>
    <t>Note</t>
  </si>
  <si>
    <t>Modifier les valeurs ci-dessus : les 3 onglets scénario se recalculent automatiquement.</t>
  </si>
  <si>
    <t>Facteur clients (scénario)</t>
  </si>
  <si>
    <t>Zénith fin A2 (cible)</t>
  </si>
  <si>
    <t>Zénith fin A3 (cible)</t>
  </si>
  <si>
    <t>Mois</t>
  </si>
  <si>
    <t>Année</t>
  </si>
  <si>
    <t>Envergure</t>
  </si>
  <si>
    <t>Cible Atelier</t>
  </si>
  <si>
    <t>Cible Horizon</t>
  </si>
  <si>
    <t>Cible Enverg.</t>
  </si>
  <si>
    <t>Cible Rayonn.</t>
  </si>
  <si>
    <t>Taux churn</t>
  </si>
  <si>
    <t>Clients payants</t>
  </si>
  <si>
    <t>MRR abo TTC</t>
  </si>
  <si>
    <t>Options TTC</t>
  </si>
  <si>
    <t>Zénith TTC</t>
  </si>
  <si>
    <t>CA TTC</t>
  </si>
  <si>
    <t>CA HT</t>
  </si>
  <si>
    <t>Frais fixes infra</t>
  </si>
  <si>
    <t>Nb développeurs</t>
  </si>
  <si>
    <t>Sous-traitance dev (HT)</t>
  </si>
  <si>
    <t>Frais variables 1%</t>
  </si>
  <si>
    <t>EBITDA</t>
  </si>
  <si>
    <t>Trésorerie</t>
  </si>
  <si>
    <t>Synthèse annuelle</t>
  </si>
  <si>
    <t>Sous-traitance dev</t>
  </si>
  <si>
    <t>Trésorerie fin</t>
  </si>
  <si>
    <t>Effectifs fin A3 (cible × facteur)</t>
  </si>
  <si>
    <t>Scénario</t>
  </si>
  <si>
    <t>CA HT A1</t>
  </si>
  <si>
    <t>EBITDA A1</t>
  </si>
  <si>
    <t>CA HT A2</t>
  </si>
  <si>
    <t>EBITDA A2</t>
  </si>
  <si>
    <t>CA HT A3</t>
  </si>
  <si>
    <t>EBITDA A3</t>
  </si>
  <si>
    <t>Trésorerie A3</t>
  </si>
  <si>
    <t>Dev A3/mois</t>
  </si>
  <si>
    <t>Prudent (-30%)</t>
  </si>
  <si>
    <t>Base</t>
  </si>
  <si>
    <t>Ambitieux (+30%)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</si>
</sst>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39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opLeftCell="A13" workbookViewId="0"/>
  </sheetViews>
  <sheetFormatPr baseColWidth="10" defaultColWidth="9.140625" defaultRowHeight="15" x14ac:dyDescent="0.25"/>
  <cols>
    <col min="1" max="1" width="38" customWidth="1"/>
    <col min="2" max="2" width="16" customWidth="1"/>
    <col min="3" max="4" width="14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2100</v>
      </c>
    </row>
    <row r="3" spans="1:2" x14ac:dyDescent="0.25">
      <c r="A3" t="s">
        <v>3</v>
      </c>
      <c r="B3">
        <v>500</v>
      </c>
    </row>
    <row r="4" spans="1:2" x14ac:dyDescent="0.25">
      <c r="A4" t="s">
        <v>4</v>
      </c>
      <c r="B4">
        <v>0.15</v>
      </c>
    </row>
    <row r="5" spans="1:2" x14ac:dyDescent="0.25">
      <c r="A5" t="s">
        <v>5</v>
      </c>
      <c r="B5">
        <v>0.01</v>
      </c>
    </row>
    <row r="6" spans="1:2" x14ac:dyDescent="0.25">
      <c r="A6" t="s">
        <v>6</v>
      </c>
      <c r="B6">
        <v>0.2</v>
      </c>
    </row>
    <row r="7" spans="1:2" x14ac:dyDescent="0.25">
      <c r="A7" t="s">
        <v>7</v>
      </c>
      <c r="B7">
        <v>9</v>
      </c>
    </row>
    <row r="8" spans="1:2" x14ac:dyDescent="0.25">
      <c r="A8" t="s">
        <v>8</v>
      </c>
      <c r="B8">
        <v>0.05</v>
      </c>
    </row>
    <row r="9" spans="1:2" x14ac:dyDescent="0.25">
      <c r="A9" t="s">
        <v>9</v>
      </c>
      <c r="B9">
        <v>0.1</v>
      </c>
    </row>
    <row r="10" spans="1:2" x14ac:dyDescent="0.25">
      <c r="A10" t="s">
        <v>10</v>
      </c>
      <c r="B10">
        <v>0.4</v>
      </c>
    </row>
    <row r="11" spans="1:2" x14ac:dyDescent="0.25">
      <c r="A11" t="s">
        <v>11</v>
      </c>
      <c r="B11">
        <v>89</v>
      </c>
    </row>
    <row r="12" spans="1:2" x14ac:dyDescent="0.25">
      <c r="A12" t="s">
        <v>12</v>
      </c>
      <c r="B12">
        <v>149</v>
      </c>
    </row>
    <row r="13" spans="1:2" x14ac:dyDescent="0.25">
      <c r="A13" t="s">
        <v>13</v>
      </c>
      <c r="B13">
        <v>499</v>
      </c>
    </row>
    <row r="14" spans="1:2" x14ac:dyDescent="0.25">
      <c r="A14" t="s">
        <v>14</v>
      </c>
      <c r="B14">
        <v>990</v>
      </c>
    </row>
    <row r="15" spans="1:2" x14ac:dyDescent="0.25">
      <c r="A15" t="s">
        <v>15</v>
      </c>
      <c r="B15">
        <v>450</v>
      </c>
    </row>
    <row r="16" spans="1:2" x14ac:dyDescent="0.25">
      <c r="A16" t="s">
        <v>16</v>
      </c>
      <c r="B16">
        <v>10</v>
      </c>
    </row>
    <row r="17" spans="1:4" x14ac:dyDescent="0.25">
      <c r="A17" t="s">
        <v>17</v>
      </c>
      <c r="B17">
        <f>B15*B16</f>
        <v>4500</v>
      </c>
    </row>
    <row r="19" spans="1:4" x14ac:dyDescent="0.25">
      <c r="A19" s="1" t="s">
        <v>18</v>
      </c>
      <c r="B19" s="1"/>
      <c r="C19" s="1"/>
      <c r="D19" s="1"/>
    </row>
    <row r="20" spans="1:4" x14ac:dyDescent="0.25">
      <c r="A20" t="s">
        <v>19</v>
      </c>
      <c r="B20">
        <v>0.6</v>
      </c>
      <c r="C20">
        <v>0.05</v>
      </c>
      <c r="D20">
        <v>20</v>
      </c>
    </row>
    <row r="21" spans="1:4" x14ac:dyDescent="0.25">
      <c r="A21" t="s">
        <v>20</v>
      </c>
      <c r="B21">
        <v>0.5</v>
      </c>
      <c r="C21">
        <v>0.1</v>
      </c>
      <c r="D21">
        <v>25</v>
      </c>
    </row>
    <row r="22" spans="1:4" x14ac:dyDescent="0.25">
      <c r="A22" t="s">
        <v>21</v>
      </c>
      <c r="B22">
        <v>0.4</v>
      </c>
      <c r="C22">
        <v>0.12</v>
      </c>
      <c r="D22">
        <v>30</v>
      </c>
    </row>
    <row r="24" spans="1:4" ht="30" x14ac:dyDescent="0.25">
      <c r="A24" s="1" t="s">
        <v>22</v>
      </c>
      <c r="B24" s="1"/>
      <c r="C24" s="1"/>
      <c r="D24" s="1"/>
    </row>
    <row r="25" spans="1:4" x14ac:dyDescent="0.25">
      <c r="A25" t="s">
        <v>23</v>
      </c>
      <c r="B25" t="s">
        <v>24</v>
      </c>
      <c r="C25" t="s">
        <v>25</v>
      </c>
      <c r="D25" t="s">
        <v>26</v>
      </c>
    </row>
    <row r="26" spans="1:4" x14ac:dyDescent="0.25">
      <c r="A26" t="s">
        <v>27</v>
      </c>
      <c r="B26">
        <v>5</v>
      </c>
      <c r="C26">
        <v>10</v>
      </c>
      <c r="D26">
        <v>20</v>
      </c>
    </row>
    <row r="27" spans="1:4" x14ac:dyDescent="0.25">
      <c r="A27" t="s">
        <v>28</v>
      </c>
      <c r="B27">
        <v>10</v>
      </c>
      <c r="C27">
        <v>35</v>
      </c>
      <c r="D27">
        <v>70</v>
      </c>
    </row>
    <row r="28" spans="1:4" x14ac:dyDescent="0.25">
      <c r="A28" t="s">
        <v>29</v>
      </c>
      <c r="B28">
        <v>0</v>
      </c>
      <c r="C28">
        <v>1</v>
      </c>
      <c r="D28">
        <v>3</v>
      </c>
    </row>
    <row r="29" spans="1:4" x14ac:dyDescent="0.25">
      <c r="A29" t="s">
        <v>30</v>
      </c>
      <c r="B29">
        <v>0</v>
      </c>
      <c r="C29">
        <v>1</v>
      </c>
      <c r="D29">
        <v>2</v>
      </c>
    </row>
    <row r="30" spans="1:4" x14ac:dyDescent="0.25">
      <c r="A30" t="s">
        <v>31</v>
      </c>
      <c r="B30">
        <v>0</v>
      </c>
      <c r="C30">
        <v>1</v>
      </c>
      <c r="D30">
        <v>3</v>
      </c>
    </row>
    <row r="32" spans="1:4" x14ac:dyDescent="0.25">
      <c r="A32" t="s">
        <v>32</v>
      </c>
    </row>
    <row r="33" spans="1:2" x14ac:dyDescent="0.25">
      <c r="A33" t="s">
        <v>33</v>
      </c>
      <c r="B33">
        <v>15000</v>
      </c>
    </row>
    <row r="34" spans="1:2" x14ac:dyDescent="0.25">
      <c r="A34" t="s">
        <v>34</v>
      </c>
      <c r="B34">
        <v>17000</v>
      </c>
    </row>
    <row r="36" spans="1:2" x14ac:dyDescent="0.25">
      <c r="A36" t="s">
        <v>35</v>
      </c>
      <c r="B36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8"/>
  <sheetViews>
    <sheetView workbookViewId="0"/>
  </sheetViews>
  <sheetFormatPr baseColWidth="10" defaultColWidth="9.140625" defaultRowHeight="15" x14ac:dyDescent="0.25"/>
  <cols>
    <col min="1" max="23" width="15" customWidth="1"/>
  </cols>
  <sheetData>
    <row r="1" spans="1:23" x14ac:dyDescent="0.25">
      <c r="A1" t="s">
        <v>37</v>
      </c>
      <c r="B1">
        <v>0.7</v>
      </c>
    </row>
    <row r="2" spans="1:23" x14ac:dyDescent="0.25">
      <c r="A2" t="s">
        <v>38</v>
      </c>
      <c r="B2">
        <f>ROUND(Hypothèses!$C$30*$B$1,0)</f>
        <v>1</v>
      </c>
      <c r="C2" t="s">
        <v>39</v>
      </c>
      <c r="D2">
        <f>ROUND(Hypothèses!$D$30*$B$1,0)</f>
        <v>2</v>
      </c>
    </row>
    <row r="3" spans="1:23" ht="30" x14ac:dyDescent="0.25">
      <c r="A3" s="1" t="s">
        <v>40</v>
      </c>
      <c r="B3" s="1" t="s">
        <v>41</v>
      </c>
      <c r="C3" s="1" t="s">
        <v>27</v>
      </c>
      <c r="D3" s="1" t="s">
        <v>28</v>
      </c>
      <c r="E3" s="1" t="s">
        <v>42</v>
      </c>
      <c r="F3" s="1" t="s">
        <v>30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</row>
    <row r="4" spans="1:23" x14ac:dyDescent="0.25">
      <c r="A4">
        <v>1</v>
      </c>
      <c r="B4">
        <f t="shared" ref="B4:B39" si="0">INT((A4-1)/12)+1</f>
        <v>1</v>
      </c>
      <c r="C4">
        <f>ROUND(IF(MOD($A4,12)=0,G4,(IF(4=4,0,C3))*(1-$K4)+IF((IF(4=4,0,C3))*(1-$K4)&lt;G4,(G4-(IF(4=4,0,C3))*(1-$K4))*Hypothèses!$B$10,0)),1)</f>
        <v>0.1</v>
      </c>
      <c r="D4">
        <f>ROUND(IF(MOD($A4,12)=0,H4,(IF(4=4,0,D3))*(1-$K4)+IF((IF(4=4,0,D3))*(1-$K4)&lt;H4,(H4-(IF(4=4,0,D3))*(1-$K4))*Hypothèses!$B$10,0)),1)</f>
        <v>0.2</v>
      </c>
      <c r="E4">
        <f>ROUND(IF(MOD($A4,12)=0,I4,(IF(4=4,0,E3))*(1-$K4)+IF((IF(4=4,0,E3))*(1-$K4)&lt;I4,(I4-(IF(4=4,0,E3))*(1-$K4))*Hypothèses!$B$10,0)),1)</f>
        <v>0</v>
      </c>
      <c r="F4">
        <f>ROUND(IF(MOD($A4,12)=0,J4,(IF(4=4,0,F3))*(1-$K4)+IF((IF(4=4,0,F3))*(1-$K4)&lt;J4,(J4-(IF(4=4,0,F3))*(1-$K4))*Hypothèses!$B$10,0)),1)</f>
        <v>0</v>
      </c>
      <c r="G4">
        <f>(IF(B4=1,0,IF(B4=2,Hypothèses!$B$26,IF(B4=3,Hypothèses!$C$26,Hypothèses!$D$26)))+(IF(B4=1,Hypothèses!$B$26,IF(B4=2,Hypothèses!$C$26,IF(B4=3,Hypothèses!$D$26,Hypothèses!$D$26)))-(IF(B4=1,0,IF(B4=2,Hypothèses!$B$26,IF(B4=3,Hypothèses!$C$26,Hypothèses!$D$26)))))*((A4)-INT((A4-1)/12)*12)/12)*$B$1</f>
        <v>0.29166666666666669</v>
      </c>
      <c r="H4">
        <f>(IF(B4=1,0,IF(B4=2,Hypothèses!$B$27,IF(B4=3,Hypothèses!$C$27,Hypothèses!$D$27)))+(IF(B4=1,Hypothèses!$B$27,IF(B4=2,Hypothèses!$C$27,IF(B4=3,Hypothèses!$D$27,Hypothèses!$D$27)))-(IF(B4=1,0,IF(B4=2,Hypothèses!$B$27,IF(B4=3,Hypothèses!$C$27,Hypothèses!$D$27)))))*((A4)-INT((A4-1)/12)*12)/12)*$B$1</f>
        <v>0.58333333333333337</v>
      </c>
      <c r="I4">
        <f>(IF(B4=1,0,IF(B4=2,Hypothèses!$B$28,IF(B4=3,Hypothèses!$C$28,Hypothèses!$D$28)))+(IF(B4=1,Hypothèses!$B$28,IF(B4=2,Hypothèses!$C$28,IF(B4=3,Hypothèses!$D$28,Hypothèses!$D$28)))-(IF(B4=1,0,IF(B4=2,Hypothèses!$B$28,IF(B4=3,Hypothèses!$C$28,Hypothèses!$D$28)))))*((A4)-INT((A4-1)/12)*12)/12)*$B$1</f>
        <v>0</v>
      </c>
      <c r="J4">
        <f>(IF(B4=1,0,IF(B4=2,Hypothèses!$B$29,IF(B4=3,Hypothèses!$C$29,Hypothèses!$D$29)))+(IF(B4=1,Hypothèses!$B$29,IF(B4=2,Hypothèses!$C$29,IF(B4=3,Hypothèses!$D$29,Hypothèses!$D$29)))-(IF(B4=1,0,IF(B4=2,Hypothèses!$B$29,IF(B4=3,Hypothèses!$C$29,Hypothèses!$D$29)))))*((A4)-INT((A4-1)/12)*12)/12)*$B$1</f>
        <v>0</v>
      </c>
      <c r="K4">
        <f>IF(A4&lt;Hypothèses!$B$7,0,Hypothèses!$B$8*(1-Hypothèses!$B$9)^(A4-Hypothèses!$B$7))</f>
        <v>0</v>
      </c>
      <c r="L4">
        <f t="shared" ref="L4:L39" si="1">C4+D4+E4+F4</f>
        <v>0.30000000000000004</v>
      </c>
      <c r="M4">
        <f>(C4*Hypothèses!$B$11+D4*Hypothèses!$B$12+E4*Hypothèses!$B$13+F4*Hypothèses!$B$14)*(IF(B4=1,Hypothèses!$B$20,IF(B4=2,Hypothèses!$B$21,Hypothèses!$B$22))+(1-(IF(B4=1,Hypothèses!$B$20,IF(B4=2,Hypothèses!$B$21,Hypothèses!$B$22))))*11/12)</f>
        <v>37.410000000000004</v>
      </c>
      <c r="N4">
        <f>L4*IF(B4=1,Hypothèses!$C$20,IF(B4=2,Hypothèses!$C$21,Hypothèses!$C$22))*IF(B4=1,Hypothèses!$D$20,IF(B4=2,Hypothèses!$D$21,Hypothèses!$D$22))</f>
        <v>0.30000000000000004</v>
      </c>
      <c r="O4">
        <f>IF(A4=18,IF($B$2&gt;=1,Hypothèses!$B$33,0),IF(AND(OR(A4=30,A4=34),$D$2&gt;=1),Hypothèses!$B$34*MIN(1,$D$2/3),0))</f>
        <v>0</v>
      </c>
      <c r="P4">
        <f t="shared" ref="P4:P39" si="2">M4+N4+O4</f>
        <v>37.71</v>
      </c>
      <c r="Q4">
        <f>P4/(1+Hypothèses!$B$6)</f>
        <v>31.425000000000001</v>
      </c>
      <c r="R4">
        <f>Hypothèses!$B$3*(1+Hypothèses!$B$4)^INT((A4-1)/3)</f>
        <v>500</v>
      </c>
      <c r="S4">
        <f>0</f>
        <v>0</v>
      </c>
      <c r="T4">
        <f>S4*Hypothèses!$B$17</f>
        <v>0</v>
      </c>
      <c r="U4">
        <f>Q4*Hypothèses!$B$5</f>
        <v>0.31425000000000003</v>
      </c>
      <c r="V4">
        <f t="shared" ref="V4:V39" si="3">Q4-R4-T4-U4</f>
        <v>-468.88925</v>
      </c>
      <c r="W4">
        <f>Hypothèses!$B$2+V4</f>
        <v>1631.1107500000001</v>
      </c>
    </row>
    <row r="5" spans="1:23" x14ac:dyDescent="0.25">
      <c r="A5">
        <v>2</v>
      </c>
      <c r="B5">
        <f t="shared" si="0"/>
        <v>1</v>
      </c>
      <c r="C5">
        <f>ROUND(IF(MOD($A5,12)=0,G5,(IF(5=4,0,C4))*(1-$K5)+IF((IF(5=4,0,C4))*(1-$K5)&lt;G5,(G5-(IF(5=4,0,C4))*(1-$K5))*Hypothèses!$B$10,0)),1)</f>
        <v>0.3</v>
      </c>
      <c r="D5">
        <f>ROUND(IF(MOD($A5,12)=0,H5,(IF(5=4,0,D4))*(1-$K5)+IF((IF(5=4,0,D4))*(1-$K5)&lt;H5,(H5-(IF(5=4,0,D4))*(1-$K5))*Hypothèses!$B$10,0)),1)</f>
        <v>0.6</v>
      </c>
      <c r="E5">
        <f>ROUND(IF(MOD($A5,12)=0,I5,(IF(5=4,0,E4))*(1-$K5)+IF((IF(5=4,0,E4))*(1-$K5)&lt;I5,(I5-(IF(5=4,0,E4))*(1-$K5))*Hypothèses!$B$10,0)),1)</f>
        <v>0</v>
      </c>
      <c r="F5">
        <f>ROUND(IF(MOD($A5,12)=0,J5,(IF(5=4,0,F4))*(1-$K5)+IF((IF(5=4,0,F4))*(1-$K5)&lt;J5,(J5-(IF(5=4,0,F4))*(1-$K5))*Hypothèses!$B$10,0)),1)</f>
        <v>0</v>
      </c>
      <c r="G5">
        <f>(IF(B5=1,0,IF(B5=2,Hypothèses!$B$26,IF(B5=3,Hypothèses!$C$26,Hypothèses!$D$26)))+(IF(B5=1,Hypothèses!$B$26,IF(B5=2,Hypothèses!$C$26,IF(B5=3,Hypothèses!$D$26,Hypothèses!$D$26)))-(IF(B5=1,0,IF(B5=2,Hypothèses!$B$26,IF(B5=3,Hypothèses!$C$26,Hypothèses!$D$26)))))*((A5)-INT((A5-1)/12)*12)/12)*$B$1</f>
        <v>0.58333333333333337</v>
      </c>
      <c r="H5">
        <f>(IF(B5=1,0,IF(B5=2,Hypothèses!$B$27,IF(B5=3,Hypothèses!$C$27,Hypothèses!$D$27)))+(IF(B5=1,Hypothèses!$B$27,IF(B5=2,Hypothèses!$C$27,IF(B5=3,Hypothèses!$D$27,Hypothèses!$D$27)))-(IF(B5=1,0,IF(B5=2,Hypothèses!$B$27,IF(B5=3,Hypothèses!$C$27,Hypothèses!$D$27)))))*((A5)-INT((A5-1)/12)*12)/12)*$B$1</f>
        <v>1.1666666666666667</v>
      </c>
      <c r="I5">
        <f>(IF(B5=1,0,IF(B5=2,Hypothèses!$B$28,IF(B5=3,Hypothèses!$C$28,Hypothèses!$D$28)))+(IF(B5=1,Hypothèses!$B$28,IF(B5=2,Hypothèses!$C$28,IF(B5=3,Hypothèses!$D$28,Hypothèses!$D$28)))-(IF(B5=1,0,IF(B5=2,Hypothèses!$B$28,IF(B5=3,Hypothèses!$C$28,Hypothèses!$D$28)))))*((A5)-INT((A5-1)/12)*12)/12)*$B$1</f>
        <v>0</v>
      </c>
      <c r="J5">
        <f>(IF(B5=1,0,IF(B5=2,Hypothèses!$B$29,IF(B5=3,Hypothèses!$C$29,Hypothèses!$D$29)))+(IF(B5=1,Hypothèses!$B$29,IF(B5=2,Hypothèses!$C$29,IF(B5=3,Hypothèses!$D$29,Hypothèses!$D$29)))-(IF(B5=1,0,IF(B5=2,Hypothèses!$B$29,IF(B5=3,Hypothèses!$C$29,Hypothèses!$D$29)))))*((A5)-INT((A5-1)/12)*12)/12)*$B$1</f>
        <v>0</v>
      </c>
      <c r="K5">
        <f>IF(A5&lt;Hypothèses!$B$7,0,Hypothèses!$B$8*(1-Hypothèses!$B$9)^(A5-Hypothèses!$B$7))</f>
        <v>0</v>
      </c>
      <c r="L5">
        <f t="shared" si="1"/>
        <v>0.89999999999999991</v>
      </c>
      <c r="M5">
        <f>(C5*Hypothèses!$B$11+D5*Hypothèses!$B$12+E5*Hypothèses!$B$13+F5*Hypothèses!$B$14)*(IF(B5=1,Hypothèses!$B$20,IF(B5=2,Hypothèses!$B$21,Hypothèses!$B$22))+(1-(IF(B5=1,Hypothèses!$B$20,IF(B5=2,Hypothèses!$B$21,Hypothèses!$B$22))))*11/12)</f>
        <v>112.22999999999999</v>
      </c>
      <c r="N5">
        <f>L5*IF(B5=1,Hypothèses!$C$20,IF(B5=2,Hypothèses!$C$21,Hypothèses!$C$22))*IF(B5=1,Hypothèses!$D$20,IF(B5=2,Hypothèses!$D$21,Hypothèses!$D$22))</f>
        <v>0.89999999999999991</v>
      </c>
      <c r="O5">
        <f>IF(A5=18,IF($B$2&gt;=1,Hypothèses!$B$33,0),IF(AND(OR(A5=30,A5=34),$D$2&gt;=1),Hypothèses!$B$34*MIN(1,$D$2/3),0))</f>
        <v>0</v>
      </c>
      <c r="P5">
        <f t="shared" si="2"/>
        <v>113.13</v>
      </c>
      <c r="Q5">
        <f>P5/(1+Hypothèses!$B$6)</f>
        <v>94.275000000000006</v>
      </c>
      <c r="R5">
        <f>Hypothèses!$B$3*(1+Hypothèses!$B$4)^INT((A5-1)/3)</f>
        <v>500</v>
      </c>
      <c r="S5">
        <f>0</f>
        <v>0</v>
      </c>
      <c r="T5">
        <f>S5*Hypothèses!$B$17</f>
        <v>0</v>
      </c>
      <c r="U5">
        <f>Q5*Hypothèses!$B$5</f>
        <v>0.94275000000000009</v>
      </c>
      <c r="V5">
        <f t="shared" si="3"/>
        <v>-406.66775000000001</v>
      </c>
      <c r="W5">
        <f t="shared" ref="W5:W39" si="4">W4+V5</f>
        <v>1224.443</v>
      </c>
    </row>
    <row r="6" spans="1:23" x14ac:dyDescent="0.25">
      <c r="A6">
        <v>3</v>
      </c>
      <c r="B6">
        <f t="shared" si="0"/>
        <v>1</v>
      </c>
      <c r="C6">
        <f>ROUND(IF(MOD($A6,12)=0,G6,(IF(6=4,0,C5))*(1-$K6)+IF((IF(6=4,0,C5))*(1-$K6)&lt;G6,(G6-(IF(6=4,0,C5))*(1-$K6))*Hypothèses!$B$10,0)),1)</f>
        <v>0.5</v>
      </c>
      <c r="D6">
        <f>ROUND(IF(MOD($A6,12)=0,H6,(IF(6=4,0,D5))*(1-$K6)+IF((IF(6=4,0,D5))*(1-$K6)&lt;H6,(H6-(IF(6=4,0,D5))*(1-$K6))*Hypothèses!$B$10,0)),1)</f>
        <v>1.1000000000000001</v>
      </c>
      <c r="E6">
        <f>ROUND(IF(MOD($A6,12)=0,I6,(IF(6=4,0,E5))*(1-$K6)+IF((IF(6=4,0,E5))*(1-$K6)&lt;I6,(I6-(IF(6=4,0,E5))*(1-$K6))*Hypothèses!$B$10,0)),1)</f>
        <v>0</v>
      </c>
      <c r="F6">
        <f>ROUND(IF(MOD($A6,12)=0,J6,(IF(6=4,0,F5))*(1-$K6)+IF((IF(6=4,0,F5))*(1-$K6)&lt;J6,(J6-(IF(6=4,0,F5))*(1-$K6))*Hypothèses!$B$10,0)),1)</f>
        <v>0</v>
      </c>
      <c r="G6">
        <f>(IF(B6=1,0,IF(B6=2,Hypothèses!$B$26,IF(B6=3,Hypothèses!$C$26,Hypothèses!$D$26)))+(IF(B6=1,Hypothèses!$B$26,IF(B6=2,Hypothèses!$C$26,IF(B6=3,Hypothèses!$D$26,Hypothèses!$D$26)))-(IF(B6=1,0,IF(B6=2,Hypothèses!$B$26,IF(B6=3,Hypothèses!$C$26,Hypothèses!$D$26)))))*((A6)-INT((A6-1)/12)*12)/12)*$B$1</f>
        <v>0.875</v>
      </c>
      <c r="H6">
        <f>(IF(B6=1,0,IF(B6=2,Hypothèses!$B$27,IF(B6=3,Hypothèses!$C$27,Hypothèses!$D$27)))+(IF(B6=1,Hypothèses!$B$27,IF(B6=2,Hypothèses!$C$27,IF(B6=3,Hypothèses!$D$27,Hypothèses!$D$27)))-(IF(B6=1,0,IF(B6=2,Hypothèses!$B$27,IF(B6=3,Hypothèses!$C$27,Hypothèses!$D$27)))))*((A6)-INT((A6-1)/12)*12)/12)*$B$1</f>
        <v>1.75</v>
      </c>
      <c r="I6">
        <f>(IF(B6=1,0,IF(B6=2,Hypothèses!$B$28,IF(B6=3,Hypothèses!$C$28,Hypothèses!$D$28)))+(IF(B6=1,Hypothèses!$B$28,IF(B6=2,Hypothèses!$C$28,IF(B6=3,Hypothèses!$D$28,Hypothèses!$D$28)))-(IF(B6=1,0,IF(B6=2,Hypothèses!$B$28,IF(B6=3,Hypothèses!$C$28,Hypothèses!$D$28)))))*((A6)-INT((A6-1)/12)*12)/12)*$B$1</f>
        <v>0</v>
      </c>
      <c r="J6">
        <f>(IF(B6=1,0,IF(B6=2,Hypothèses!$B$29,IF(B6=3,Hypothèses!$C$29,Hypothèses!$D$29)))+(IF(B6=1,Hypothèses!$B$29,IF(B6=2,Hypothèses!$C$29,IF(B6=3,Hypothèses!$D$29,Hypothèses!$D$29)))-(IF(B6=1,0,IF(B6=2,Hypothèses!$B$29,IF(B6=3,Hypothèses!$C$29,Hypothèses!$D$29)))))*((A6)-INT((A6-1)/12)*12)/12)*$B$1</f>
        <v>0</v>
      </c>
      <c r="K6">
        <f>IF(A6&lt;Hypothèses!$B$7,0,Hypothèses!$B$8*(1-Hypothèses!$B$9)^(A6-Hypothèses!$B$7))</f>
        <v>0</v>
      </c>
      <c r="L6">
        <f t="shared" si="1"/>
        <v>1.6</v>
      </c>
      <c r="M6">
        <f>(C6*Hypothèses!$B$11+D6*Hypothèses!$B$12+E6*Hypothèses!$B$13+F6*Hypothèses!$B$14)*(IF(B6=1,Hypothèses!$B$20,IF(B6=2,Hypothèses!$B$21,Hypothèses!$B$22))+(1-(IF(B6=1,Hypothèses!$B$20,IF(B6=2,Hypothèses!$B$21,Hypothèses!$B$22))))*11/12)</f>
        <v>201.45333333333335</v>
      </c>
      <c r="N6">
        <f>L6*IF(B6=1,Hypothèses!$C$20,IF(B6=2,Hypothèses!$C$21,Hypothèses!$C$22))*IF(B6=1,Hypothèses!$D$20,IF(B6=2,Hypothèses!$D$21,Hypothèses!$D$22))</f>
        <v>1.6000000000000003</v>
      </c>
      <c r="O6">
        <f>IF(A6=18,IF($B$2&gt;=1,Hypothèses!$B$33,0),IF(AND(OR(A6=30,A6=34),$D$2&gt;=1),Hypothèses!$B$34*MIN(1,$D$2/3),0))</f>
        <v>0</v>
      </c>
      <c r="P6">
        <f t="shared" si="2"/>
        <v>203.05333333333334</v>
      </c>
      <c r="Q6">
        <f>P6/(1+Hypothèses!$B$6)</f>
        <v>169.21111111111114</v>
      </c>
      <c r="R6">
        <f>Hypothèses!$B$3*(1+Hypothèses!$B$4)^INT((A6-1)/3)</f>
        <v>500</v>
      </c>
      <c r="S6">
        <f>0</f>
        <v>0</v>
      </c>
      <c r="T6">
        <f>S6*Hypothèses!$B$17</f>
        <v>0</v>
      </c>
      <c r="U6">
        <f>Q6*Hypothèses!$B$5</f>
        <v>1.6921111111111113</v>
      </c>
      <c r="V6">
        <f t="shared" si="3"/>
        <v>-332.48099999999999</v>
      </c>
      <c r="W6">
        <f t="shared" si="4"/>
        <v>891.96199999999999</v>
      </c>
    </row>
    <row r="7" spans="1:23" x14ac:dyDescent="0.25">
      <c r="A7">
        <v>4</v>
      </c>
      <c r="B7">
        <f t="shared" si="0"/>
        <v>1</v>
      </c>
      <c r="C7">
        <f>ROUND(IF(MOD($A7,12)=0,G7,(IF(7=4,0,C6))*(1-$K7)+IF((IF(7=4,0,C6))*(1-$K7)&lt;G7,(G7-(IF(7=4,0,C6))*(1-$K7))*Hypothèses!$B$10,0)),1)</f>
        <v>0.8</v>
      </c>
      <c r="D7">
        <f>ROUND(IF(MOD($A7,12)=0,H7,(IF(7=4,0,D6))*(1-$K7)+IF((IF(7=4,0,D6))*(1-$K7)&lt;H7,(H7-(IF(7=4,0,D6))*(1-$K7))*Hypothèses!$B$10,0)),1)</f>
        <v>1.6</v>
      </c>
      <c r="E7">
        <f>ROUND(IF(MOD($A7,12)=0,I7,(IF(7=4,0,E6))*(1-$K7)+IF((IF(7=4,0,E6))*(1-$K7)&lt;I7,(I7-(IF(7=4,0,E6))*(1-$K7))*Hypothèses!$B$10,0)),1)</f>
        <v>0</v>
      </c>
      <c r="F7">
        <f>ROUND(IF(MOD($A7,12)=0,J7,(IF(7=4,0,F6))*(1-$K7)+IF((IF(7=4,0,F6))*(1-$K7)&lt;J7,(J7-(IF(7=4,0,F6))*(1-$K7))*Hypothèses!$B$10,0)),1)</f>
        <v>0</v>
      </c>
      <c r="G7">
        <f>(IF(B7=1,0,IF(B7=2,Hypothèses!$B$26,IF(B7=3,Hypothèses!$C$26,Hypothèses!$D$26)))+(IF(B7=1,Hypothèses!$B$26,IF(B7=2,Hypothèses!$C$26,IF(B7=3,Hypothèses!$D$26,Hypothèses!$D$26)))-(IF(B7=1,0,IF(B7=2,Hypothèses!$B$26,IF(B7=3,Hypothèses!$C$26,Hypothèses!$D$26)))))*((A7)-INT((A7-1)/12)*12)/12)*$B$1</f>
        <v>1.1666666666666667</v>
      </c>
      <c r="H7">
        <f>(IF(B7=1,0,IF(B7=2,Hypothèses!$B$27,IF(B7=3,Hypothèses!$C$27,Hypothèses!$D$27)))+(IF(B7=1,Hypothèses!$B$27,IF(B7=2,Hypothèses!$C$27,IF(B7=3,Hypothèses!$D$27,Hypothèses!$D$27)))-(IF(B7=1,0,IF(B7=2,Hypothèses!$B$27,IF(B7=3,Hypothèses!$C$27,Hypothèses!$D$27)))))*((A7)-INT((A7-1)/12)*12)/12)*$B$1</f>
        <v>2.3333333333333335</v>
      </c>
      <c r="I7">
        <f>(IF(B7=1,0,IF(B7=2,Hypothèses!$B$28,IF(B7=3,Hypothèses!$C$28,Hypothèses!$D$28)))+(IF(B7=1,Hypothèses!$B$28,IF(B7=2,Hypothèses!$C$28,IF(B7=3,Hypothèses!$D$28,Hypothèses!$D$28)))-(IF(B7=1,0,IF(B7=2,Hypothèses!$B$28,IF(B7=3,Hypothèses!$C$28,Hypothèses!$D$28)))))*((A7)-INT((A7-1)/12)*12)/12)*$B$1</f>
        <v>0</v>
      </c>
      <c r="J7">
        <f>(IF(B7=1,0,IF(B7=2,Hypothèses!$B$29,IF(B7=3,Hypothèses!$C$29,Hypothèses!$D$29)))+(IF(B7=1,Hypothèses!$B$29,IF(B7=2,Hypothèses!$C$29,IF(B7=3,Hypothèses!$D$29,Hypothèses!$D$29)))-(IF(B7=1,0,IF(B7=2,Hypothèses!$B$29,IF(B7=3,Hypothèses!$C$29,Hypothèses!$D$29)))))*((A7)-INT((A7-1)/12)*12)/12)*$B$1</f>
        <v>0</v>
      </c>
      <c r="K7">
        <f>IF(A7&lt;Hypothèses!$B$7,0,Hypothèses!$B$8*(1-Hypothèses!$B$9)^(A7-Hypothèses!$B$7))</f>
        <v>0</v>
      </c>
      <c r="L7">
        <f t="shared" si="1"/>
        <v>2.4000000000000004</v>
      </c>
      <c r="M7">
        <f>(C7*Hypothèses!$B$11+D7*Hypothèses!$B$12+E7*Hypothèses!$B$13+F7*Hypothèses!$B$14)*(IF(B7=1,Hypothèses!$B$20,IF(B7=2,Hypothèses!$B$21,Hypothèses!$B$22))+(1-(IF(B7=1,Hypothèses!$B$20,IF(B7=2,Hypothèses!$B$21,Hypothèses!$B$22))))*11/12)</f>
        <v>299.28000000000003</v>
      </c>
      <c r="N7">
        <f>L7*IF(B7=1,Hypothèses!$C$20,IF(B7=2,Hypothèses!$C$21,Hypothèses!$C$22))*IF(B7=1,Hypothèses!$D$20,IF(B7=2,Hypothèses!$D$21,Hypothèses!$D$22))</f>
        <v>2.4000000000000004</v>
      </c>
      <c r="O7">
        <f>IF(A7=18,IF($B$2&gt;=1,Hypothèses!$B$33,0),IF(AND(OR(A7=30,A7=34),$D$2&gt;=1),Hypothèses!$B$34*MIN(1,$D$2/3),0))</f>
        <v>0</v>
      </c>
      <c r="P7">
        <f t="shared" si="2"/>
        <v>301.68</v>
      </c>
      <c r="Q7">
        <f>P7/(1+Hypothèses!$B$6)</f>
        <v>251.4</v>
      </c>
      <c r="R7">
        <f>Hypothèses!$B$3*(1+Hypothèses!$B$4)^INT((A7-1)/3)</f>
        <v>575</v>
      </c>
      <c r="S7">
        <f>0</f>
        <v>0</v>
      </c>
      <c r="T7">
        <f>S7*Hypothèses!$B$17</f>
        <v>0</v>
      </c>
      <c r="U7">
        <f>Q7*Hypothèses!$B$5</f>
        <v>2.5140000000000002</v>
      </c>
      <c r="V7">
        <f t="shared" si="3"/>
        <v>-326.11400000000003</v>
      </c>
      <c r="W7">
        <f t="shared" si="4"/>
        <v>565.84799999999996</v>
      </c>
    </row>
    <row r="8" spans="1:23" x14ac:dyDescent="0.25">
      <c r="A8">
        <v>5</v>
      </c>
      <c r="B8">
        <f t="shared" si="0"/>
        <v>1</v>
      </c>
      <c r="C8">
        <f>ROUND(IF(MOD($A8,12)=0,G8,(IF(8=4,0,C7))*(1-$K8)+IF((IF(8=4,0,C7))*(1-$K8)&lt;G8,(G8-(IF(8=4,0,C7))*(1-$K8))*Hypothèses!$B$10,0)),1)</f>
        <v>1.1000000000000001</v>
      </c>
      <c r="D8">
        <f>ROUND(IF(MOD($A8,12)=0,H8,(IF(8=4,0,D7))*(1-$K8)+IF((IF(8=4,0,D7))*(1-$K8)&lt;H8,(H8-(IF(8=4,0,D7))*(1-$K8))*Hypothèses!$B$10,0)),1)</f>
        <v>2.1</v>
      </c>
      <c r="E8">
        <f>ROUND(IF(MOD($A8,12)=0,I8,(IF(8=4,0,E7))*(1-$K8)+IF((IF(8=4,0,E7))*(1-$K8)&lt;I8,(I8-(IF(8=4,0,E7))*(1-$K8))*Hypothèses!$B$10,0)),1)</f>
        <v>0</v>
      </c>
      <c r="F8">
        <f>ROUND(IF(MOD($A8,12)=0,J8,(IF(8=4,0,F7))*(1-$K8)+IF((IF(8=4,0,F7))*(1-$K8)&lt;J8,(J8-(IF(8=4,0,F7))*(1-$K8))*Hypothèses!$B$10,0)),1)</f>
        <v>0</v>
      </c>
      <c r="G8">
        <f>(IF(B8=1,0,IF(B8=2,Hypothèses!$B$26,IF(B8=3,Hypothèses!$C$26,Hypothèses!$D$26)))+(IF(B8=1,Hypothèses!$B$26,IF(B8=2,Hypothèses!$C$26,IF(B8=3,Hypothèses!$D$26,Hypothèses!$D$26)))-(IF(B8=1,0,IF(B8=2,Hypothèses!$B$26,IF(B8=3,Hypothèses!$C$26,Hypothèses!$D$26)))))*((A8)-INT((A8-1)/12)*12)/12)*$B$1</f>
        <v>1.4583333333333333</v>
      </c>
      <c r="H8">
        <f>(IF(B8=1,0,IF(B8=2,Hypothèses!$B$27,IF(B8=3,Hypothèses!$C$27,Hypothèses!$D$27)))+(IF(B8=1,Hypothèses!$B$27,IF(B8=2,Hypothèses!$C$27,IF(B8=3,Hypothèses!$D$27,Hypothèses!$D$27)))-(IF(B8=1,0,IF(B8=2,Hypothèses!$B$27,IF(B8=3,Hypothèses!$C$27,Hypothèses!$D$27)))))*((A8)-INT((A8-1)/12)*12)/12)*$B$1</f>
        <v>2.9166666666666665</v>
      </c>
      <c r="I8">
        <f>(IF(B8=1,0,IF(B8=2,Hypothèses!$B$28,IF(B8=3,Hypothèses!$C$28,Hypothèses!$D$28)))+(IF(B8=1,Hypothèses!$B$28,IF(B8=2,Hypothèses!$C$28,IF(B8=3,Hypothèses!$D$28,Hypothèses!$D$28)))-(IF(B8=1,0,IF(B8=2,Hypothèses!$B$28,IF(B8=3,Hypothèses!$C$28,Hypothèses!$D$28)))))*((A8)-INT((A8-1)/12)*12)/12)*$B$1</f>
        <v>0</v>
      </c>
      <c r="J8">
        <f>(IF(B8=1,0,IF(B8=2,Hypothèses!$B$29,IF(B8=3,Hypothèses!$C$29,Hypothèses!$D$29)))+(IF(B8=1,Hypothèses!$B$29,IF(B8=2,Hypothèses!$C$29,IF(B8=3,Hypothèses!$D$29,Hypothèses!$D$29)))-(IF(B8=1,0,IF(B8=2,Hypothèses!$B$29,IF(B8=3,Hypothèses!$C$29,Hypothèses!$D$29)))))*((A8)-INT((A8-1)/12)*12)/12)*$B$1</f>
        <v>0</v>
      </c>
      <c r="K8">
        <f>IF(A8&lt;Hypothèses!$B$7,0,Hypothèses!$B$8*(1-Hypothèses!$B$9)^(A8-Hypothèses!$B$7))</f>
        <v>0</v>
      </c>
      <c r="L8">
        <f t="shared" si="1"/>
        <v>3.2</v>
      </c>
      <c r="M8">
        <f>(C8*Hypothèses!$B$11+D8*Hypothèses!$B$12+E8*Hypothèses!$B$13+F8*Hypothèses!$B$14)*(IF(B8=1,Hypothèses!$B$20,IF(B8=2,Hypothèses!$B$21,Hypothèses!$B$22))+(1-(IF(B8=1,Hypothèses!$B$20,IF(B8=2,Hypothèses!$B$21,Hypothèses!$B$22))))*11/12)</f>
        <v>397.10666666666674</v>
      </c>
      <c r="N8">
        <f>L8*IF(B8=1,Hypothèses!$C$20,IF(B8=2,Hypothèses!$C$21,Hypothèses!$C$22))*IF(B8=1,Hypothèses!$D$20,IF(B8=2,Hypothèses!$D$21,Hypothèses!$D$22))</f>
        <v>3.2000000000000006</v>
      </c>
      <c r="O8">
        <f>IF(A8=18,IF($B$2&gt;=1,Hypothèses!$B$33,0),IF(AND(OR(A8=30,A8=34),$D$2&gt;=1),Hypothèses!$B$34*MIN(1,$D$2/3),0))</f>
        <v>0</v>
      </c>
      <c r="P8">
        <f t="shared" si="2"/>
        <v>400.30666666666673</v>
      </c>
      <c r="Q8">
        <f>P8/(1+Hypothèses!$B$6)</f>
        <v>333.58888888888896</v>
      </c>
      <c r="R8">
        <f>Hypothèses!$B$3*(1+Hypothèses!$B$4)^INT((A8-1)/3)</f>
        <v>575</v>
      </c>
      <c r="S8">
        <f>0</f>
        <v>0</v>
      </c>
      <c r="T8">
        <f>S8*Hypothèses!$B$17</f>
        <v>0</v>
      </c>
      <c r="U8">
        <f>Q8*Hypothèses!$B$5</f>
        <v>3.3358888888888898</v>
      </c>
      <c r="V8">
        <f t="shared" si="3"/>
        <v>-244.74699999999993</v>
      </c>
      <c r="W8">
        <f t="shared" si="4"/>
        <v>321.101</v>
      </c>
    </row>
    <row r="9" spans="1:23" x14ac:dyDescent="0.25">
      <c r="A9">
        <v>6</v>
      </c>
      <c r="B9">
        <f t="shared" si="0"/>
        <v>1</v>
      </c>
      <c r="C9">
        <f>ROUND(IF(MOD($A9,12)=0,G9,(IF(9=4,0,C8))*(1-$K9)+IF((IF(9=4,0,C8))*(1-$K9)&lt;G9,(G9-(IF(9=4,0,C8))*(1-$K9))*Hypothèses!$B$10,0)),1)</f>
        <v>1.4</v>
      </c>
      <c r="D9">
        <f>ROUND(IF(MOD($A9,12)=0,H9,(IF(9=4,0,D8))*(1-$K9)+IF((IF(9=4,0,D8))*(1-$K9)&lt;H9,(H9-(IF(9=4,0,D8))*(1-$K9))*Hypothèses!$B$10,0)),1)</f>
        <v>2.7</v>
      </c>
      <c r="E9">
        <f>ROUND(IF(MOD($A9,12)=0,I9,(IF(9=4,0,E8))*(1-$K9)+IF((IF(9=4,0,E8))*(1-$K9)&lt;I9,(I9-(IF(9=4,0,E8))*(1-$K9))*Hypothèses!$B$10,0)),1)</f>
        <v>0</v>
      </c>
      <c r="F9">
        <f>ROUND(IF(MOD($A9,12)=0,J9,(IF(9=4,0,F8))*(1-$K9)+IF((IF(9=4,0,F8))*(1-$K9)&lt;J9,(J9-(IF(9=4,0,F8))*(1-$K9))*Hypothèses!$B$10,0)),1)</f>
        <v>0</v>
      </c>
      <c r="G9">
        <f>(IF(B9=1,0,IF(B9=2,Hypothèses!$B$26,IF(B9=3,Hypothèses!$C$26,Hypothèses!$D$26)))+(IF(B9=1,Hypothèses!$B$26,IF(B9=2,Hypothèses!$C$26,IF(B9=3,Hypothèses!$D$26,Hypothèses!$D$26)))-(IF(B9=1,0,IF(B9=2,Hypothèses!$B$26,IF(B9=3,Hypothèses!$C$26,Hypothèses!$D$26)))))*((A9)-INT((A9-1)/12)*12)/12)*$B$1</f>
        <v>1.75</v>
      </c>
      <c r="H9">
        <f>(IF(B9=1,0,IF(B9=2,Hypothèses!$B$27,IF(B9=3,Hypothèses!$C$27,Hypothèses!$D$27)))+(IF(B9=1,Hypothèses!$B$27,IF(B9=2,Hypothèses!$C$27,IF(B9=3,Hypothèses!$D$27,Hypothèses!$D$27)))-(IF(B9=1,0,IF(B9=2,Hypothèses!$B$27,IF(B9=3,Hypothèses!$C$27,Hypothèses!$D$27)))))*((A9)-INT((A9-1)/12)*12)/12)*$B$1</f>
        <v>3.5</v>
      </c>
      <c r="I9">
        <f>(IF(B9=1,0,IF(B9=2,Hypothèses!$B$28,IF(B9=3,Hypothèses!$C$28,Hypothèses!$D$28)))+(IF(B9=1,Hypothèses!$B$28,IF(B9=2,Hypothèses!$C$28,IF(B9=3,Hypothèses!$D$28,Hypothèses!$D$28)))-(IF(B9=1,0,IF(B9=2,Hypothèses!$B$28,IF(B9=3,Hypothèses!$C$28,Hypothèses!$D$28)))))*((A9)-INT((A9-1)/12)*12)/12)*$B$1</f>
        <v>0</v>
      </c>
      <c r="J9">
        <f>(IF(B9=1,0,IF(B9=2,Hypothèses!$B$29,IF(B9=3,Hypothèses!$C$29,Hypothèses!$D$29)))+(IF(B9=1,Hypothèses!$B$29,IF(B9=2,Hypothèses!$C$29,IF(B9=3,Hypothèses!$D$29,Hypothèses!$D$29)))-(IF(B9=1,0,IF(B9=2,Hypothèses!$B$29,IF(B9=3,Hypothèses!$C$29,Hypothèses!$D$29)))))*((A9)-INT((A9-1)/12)*12)/12)*$B$1</f>
        <v>0</v>
      </c>
      <c r="K9">
        <f>IF(A9&lt;Hypothèses!$B$7,0,Hypothèses!$B$8*(1-Hypothèses!$B$9)^(A9-Hypothèses!$B$7))</f>
        <v>0</v>
      </c>
      <c r="L9">
        <f t="shared" si="1"/>
        <v>4.0999999999999996</v>
      </c>
      <c r="M9">
        <f>(C9*Hypothèses!$B$11+D9*Hypothèses!$B$12+E9*Hypothèses!$B$13+F9*Hypothèses!$B$14)*(IF(B9=1,Hypothèses!$B$20,IF(B9=2,Hypothèses!$B$21,Hypothèses!$B$22))+(1-(IF(B9=1,Hypothèses!$B$20,IF(B9=2,Hypothèses!$B$21,Hypothèses!$B$22))))*11/12)</f>
        <v>509.33666666666664</v>
      </c>
      <c r="N9">
        <f>L9*IF(B9=1,Hypothèses!$C$20,IF(B9=2,Hypothèses!$C$21,Hypothèses!$C$22))*IF(B9=1,Hypothèses!$D$20,IF(B9=2,Hypothèses!$D$21,Hypothèses!$D$22))</f>
        <v>4.0999999999999996</v>
      </c>
      <c r="O9">
        <f>IF(A9=18,IF($B$2&gt;=1,Hypothèses!$B$33,0),IF(AND(OR(A9=30,A9=34),$D$2&gt;=1),Hypothèses!$B$34*MIN(1,$D$2/3),0))</f>
        <v>0</v>
      </c>
      <c r="P9">
        <f t="shared" si="2"/>
        <v>513.43666666666661</v>
      </c>
      <c r="Q9">
        <f>P9/(1+Hypothèses!$B$6)</f>
        <v>427.86388888888888</v>
      </c>
      <c r="R9">
        <f>Hypothèses!$B$3*(1+Hypothèses!$B$4)^INT((A9-1)/3)</f>
        <v>575</v>
      </c>
      <c r="S9">
        <f>0</f>
        <v>0</v>
      </c>
      <c r="T9">
        <f>S9*Hypothèses!$B$17</f>
        <v>0</v>
      </c>
      <c r="U9">
        <f>Q9*Hypothèses!$B$5</f>
        <v>4.2786388888888887</v>
      </c>
      <c r="V9">
        <f t="shared" si="3"/>
        <v>-151.41475</v>
      </c>
      <c r="W9">
        <f t="shared" si="4"/>
        <v>169.68625</v>
      </c>
    </row>
    <row r="10" spans="1:23" x14ac:dyDescent="0.25">
      <c r="A10">
        <v>7</v>
      </c>
      <c r="B10">
        <f t="shared" si="0"/>
        <v>1</v>
      </c>
      <c r="C10">
        <f>ROUND(IF(MOD($A10,12)=0,G10,(IF(10=4,0,C9))*(1-$K10)+IF((IF(10=4,0,C9))*(1-$K10)&lt;G10,(G10-(IF(10=4,0,C9))*(1-$K10))*Hypothèses!$B$10,0)),1)</f>
        <v>1.7</v>
      </c>
      <c r="D10">
        <f>ROUND(IF(MOD($A10,12)=0,H10,(IF(10=4,0,D9))*(1-$K10)+IF((IF(10=4,0,D9))*(1-$K10)&lt;H10,(H10-(IF(10=4,0,D9))*(1-$K10))*Hypothèses!$B$10,0)),1)</f>
        <v>3.3</v>
      </c>
      <c r="E10">
        <f>ROUND(IF(MOD($A10,12)=0,I10,(IF(10=4,0,E9))*(1-$K10)+IF((IF(10=4,0,E9))*(1-$K10)&lt;I10,(I10-(IF(10=4,0,E9))*(1-$K10))*Hypothèses!$B$10,0)),1)</f>
        <v>0</v>
      </c>
      <c r="F10">
        <f>ROUND(IF(MOD($A10,12)=0,J10,(IF(10=4,0,F9))*(1-$K10)+IF((IF(10=4,0,F9))*(1-$K10)&lt;J10,(J10-(IF(10=4,0,F9))*(1-$K10))*Hypothèses!$B$10,0)),1)</f>
        <v>0</v>
      </c>
      <c r="G10">
        <f>(IF(B10=1,0,IF(B10=2,Hypothèses!$B$26,IF(B10=3,Hypothèses!$C$26,Hypothèses!$D$26)))+(IF(B10=1,Hypothèses!$B$26,IF(B10=2,Hypothèses!$C$26,IF(B10=3,Hypothèses!$D$26,Hypothèses!$D$26)))-(IF(B10=1,0,IF(B10=2,Hypothèses!$B$26,IF(B10=3,Hypothèses!$C$26,Hypothèses!$D$26)))))*((A10)-INT((A10-1)/12)*12)/12)*$B$1</f>
        <v>2.0416666666666665</v>
      </c>
      <c r="H10">
        <f>(IF(B10=1,0,IF(B10=2,Hypothèses!$B$27,IF(B10=3,Hypothèses!$C$27,Hypothèses!$D$27)))+(IF(B10=1,Hypothèses!$B$27,IF(B10=2,Hypothèses!$C$27,IF(B10=3,Hypothèses!$D$27,Hypothèses!$D$27)))-(IF(B10=1,0,IF(B10=2,Hypothèses!$B$27,IF(B10=3,Hypothèses!$C$27,Hypothèses!$D$27)))))*((A10)-INT((A10-1)/12)*12)/12)*$B$1</f>
        <v>4.083333333333333</v>
      </c>
      <c r="I10">
        <f>(IF(B10=1,0,IF(B10=2,Hypothèses!$B$28,IF(B10=3,Hypothèses!$C$28,Hypothèses!$D$28)))+(IF(B10=1,Hypothèses!$B$28,IF(B10=2,Hypothèses!$C$28,IF(B10=3,Hypothèses!$D$28,Hypothèses!$D$28)))-(IF(B10=1,0,IF(B10=2,Hypothèses!$B$28,IF(B10=3,Hypothèses!$C$28,Hypothèses!$D$28)))))*((A10)-INT((A10-1)/12)*12)/12)*$B$1</f>
        <v>0</v>
      </c>
      <c r="J10">
        <f>(IF(B10=1,0,IF(B10=2,Hypothèses!$B$29,IF(B10=3,Hypothèses!$C$29,Hypothèses!$D$29)))+(IF(B10=1,Hypothèses!$B$29,IF(B10=2,Hypothèses!$C$29,IF(B10=3,Hypothèses!$D$29,Hypothèses!$D$29)))-(IF(B10=1,0,IF(B10=2,Hypothèses!$B$29,IF(B10=3,Hypothèses!$C$29,Hypothèses!$D$29)))))*((A10)-INT((A10-1)/12)*12)/12)*$B$1</f>
        <v>0</v>
      </c>
      <c r="K10">
        <f>IF(A10&lt;Hypothèses!$B$7,0,Hypothèses!$B$8*(1-Hypothèses!$B$9)^(A10-Hypothèses!$B$7))</f>
        <v>0</v>
      </c>
      <c r="L10">
        <f t="shared" si="1"/>
        <v>5</v>
      </c>
      <c r="M10">
        <f>(C10*Hypothèses!$B$11+D10*Hypothèses!$B$12+E10*Hypothèses!$B$13+F10*Hypothèses!$B$14)*(IF(B10=1,Hypothèses!$B$20,IF(B10=2,Hypothèses!$B$21,Hypothèses!$B$22))+(1-(IF(B10=1,Hypothèses!$B$20,IF(B10=2,Hypothèses!$B$21,Hypothèses!$B$22))))*11/12)</f>
        <v>621.56666666666672</v>
      </c>
      <c r="N10">
        <f>L10*IF(B10=1,Hypothèses!$C$20,IF(B10=2,Hypothèses!$C$21,Hypothèses!$C$22))*IF(B10=1,Hypothèses!$D$20,IF(B10=2,Hypothèses!$D$21,Hypothèses!$D$22))</f>
        <v>5</v>
      </c>
      <c r="O10">
        <f>IF(A10=18,IF($B$2&gt;=1,Hypothèses!$B$33,0),IF(AND(OR(A10=30,A10=34),$D$2&gt;=1),Hypothèses!$B$34*MIN(1,$D$2/3),0))</f>
        <v>0</v>
      </c>
      <c r="P10">
        <f t="shared" si="2"/>
        <v>626.56666666666672</v>
      </c>
      <c r="Q10">
        <f>P10/(1+Hypothèses!$B$6)</f>
        <v>522.13888888888891</v>
      </c>
      <c r="R10">
        <f>Hypothèses!$B$3*(1+Hypothèses!$B$4)^INT((A10-1)/3)</f>
        <v>661.24999999999989</v>
      </c>
      <c r="S10">
        <f>0</f>
        <v>0</v>
      </c>
      <c r="T10">
        <f>S10*Hypothèses!$B$17</f>
        <v>0</v>
      </c>
      <c r="U10">
        <f>Q10*Hypothèses!$B$5</f>
        <v>5.2213888888888889</v>
      </c>
      <c r="V10">
        <f t="shared" si="3"/>
        <v>-144.33249999999987</v>
      </c>
      <c r="W10">
        <f t="shared" si="4"/>
        <v>25.353750000000133</v>
      </c>
    </row>
    <row r="11" spans="1:23" x14ac:dyDescent="0.25">
      <c r="A11">
        <v>8</v>
      </c>
      <c r="B11">
        <f t="shared" si="0"/>
        <v>1</v>
      </c>
      <c r="C11">
        <f>ROUND(IF(MOD($A11,12)=0,G11,(IF(11=4,0,C10))*(1-$K11)+IF((IF(11=4,0,C10))*(1-$K11)&lt;G11,(G11-(IF(11=4,0,C10))*(1-$K11))*Hypothèses!$B$10,0)),1)</f>
        <v>2</v>
      </c>
      <c r="D11">
        <f>ROUND(IF(MOD($A11,12)=0,H11,(IF(11=4,0,D10))*(1-$K11)+IF((IF(11=4,0,D10))*(1-$K11)&lt;H11,(H11-(IF(11=4,0,D10))*(1-$K11))*Hypothèses!$B$10,0)),1)</f>
        <v>3.8</v>
      </c>
      <c r="E11">
        <f>ROUND(IF(MOD($A11,12)=0,I11,(IF(11=4,0,E10))*(1-$K11)+IF((IF(11=4,0,E10))*(1-$K11)&lt;I11,(I11-(IF(11=4,0,E10))*(1-$K11))*Hypothèses!$B$10,0)),1)</f>
        <v>0</v>
      </c>
      <c r="F11">
        <f>ROUND(IF(MOD($A11,12)=0,J11,(IF(11=4,0,F10))*(1-$K11)+IF((IF(11=4,0,F10))*(1-$K11)&lt;J11,(J11-(IF(11=4,0,F10))*(1-$K11))*Hypothèses!$B$10,0)),1)</f>
        <v>0</v>
      </c>
      <c r="G11">
        <f>(IF(B11=1,0,IF(B11=2,Hypothèses!$B$26,IF(B11=3,Hypothèses!$C$26,Hypothèses!$D$26)))+(IF(B11=1,Hypothèses!$B$26,IF(B11=2,Hypothèses!$C$26,IF(B11=3,Hypothèses!$D$26,Hypothèses!$D$26)))-(IF(B11=1,0,IF(B11=2,Hypothèses!$B$26,IF(B11=3,Hypothèses!$C$26,Hypothèses!$D$26)))))*((A11)-INT((A11-1)/12)*12)/12)*$B$1</f>
        <v>2.3333333333333335</v>
      </c>
      <c r="H11">
        <f>(IF(B11=1,0,IF(B11=2,Hypothèses!$B$27,IF(B11=3,Hypothèses!$C$27,Hypothèses!$D$27)))+(IF(B11=1,Hypothèses!$B$27,IF(B11=2,Hypothèses!$C$27,IF(B11=3,Hypothèses!$D$27,Hypothèses!$D$27)))-(IF(B11=1,0,IF(B11=2,Hypothèses!$B$27,IF(B11=3,Hypothèses!$C$27,Hypothèses!$D$27)))))*((A11)-INT((A11-1)/12)*12)/12)*$B$1</f>
        <v>4.666666666666667</v>
      </c>
      <c r="I11">
        <f>(IF(B11=1,0,IF(B11=2,Hypothèses!$B$28,IF(B11=3,Hypothèses!$C$28,Hypothèses!$D$28)))+(IF(B11=1,Hypothèses!$B$28,IF(B11=2,Hypothèses!$C$28,IF(B11=3,Hypothèses!$D$28,Hypothèses!$D$28)))-(IF(B11=1,0,IF(B11=2,Hypothèses!$B$28,IF(B11=3,Hypothèses!$C$28,Hypothèses!$D$28)))))*((A11)-INT((A11-1)/12)*12)/12)*$B$1</f>
        <v>0</v>
      </c>
      <c r="J11">
        <f>(IF(B11=1,0,IF(B11=2,Hypothèses!$B$29,IF(B11=3,Hypothèses!$C$29,Hypothèses!$D$29)))+(IF(B11=1,Hypothèses!$B$29,IF(B11=2,Hypothèses!$C$29,IF(B11=3,Hypothèses!$D$29,Hypothèses!$D$29)))-(IF(B11=1,0,IF(B11=2,Hypothèses!$B$29,IF(B11=3,Hypothèses!$C$29,Hypothèses!$D$29)))))*((A11)-INT((A11-1)/12)*12)/12)*$B$1</f>
        <v>0</v>
      </c>
      <c r="K11">
        <f>IF(A11&lt;Hypothèses!$B$7,0,Hypothèses!$B$8*(1-Hypothèses!$B$9)^(A11-Hypothèses!$B$7))</f>
        <v>0</v>
      </c>
      <c r="L11">
        <f t="shared" si="1"/>
        <v>5.8</v>
      </c>
      <c r="M11">
        <f>(C11*Hypothèses!$B$11+D11*Hypothèses!$B$12+E11*Hypothèses!$B$13+F11*Hypothèses!$B$14)*(IF(B11=1,Hypothèses!$B$20,IF(B11=2,Hypothèses!$B$21,Hypothèses!$B$22))+(1-(IF(B11=1,Hypothèses!$B$20,IF(B11=2,Hypothèses!$B$21,Hypothèses!$B$22))))*11/12)</f>
        <v>719.39333333333332</v>
      </c>
      <c r="N11">
        <f>L11*IF(B11=1,Hypothèses!$C$20,IF(B11=2,Hypothèses!$C$21,Hypothèses!$C$22))*IF(B11=1,Hypothèses!$D$20,IF(B11=2,Hypothèses!$D$21,Hypothèses!$D$22))</f>
        <v>5.8</v>
      </c>
      <c r="O11">
        <f>IF(A11=18,IF($B$2&gt;=1,Hypothèses!$B$33,0),IF(AND(OR(A11=30,A11=34),$D$2&gt;=1),Hypothèses!$B$34*MIN(1,$D$2/3),0))</f>
        <v>0</v>
      </c>
      <c r="P11">
        <f t="shared" si="2"/>
        <v>725.19333333333327</v>
      </c>
      <c r="Q11">
        <f>P11/(1+Hypothèses!$B$6)</f>
        <v>604.32777777777778</v>
      </c>
      <c r="R11">
        <f>Hypothèses!$B$3*(1+Hypothèses!$B$4)^INT((A11-1)/3)</f>
        <v>661.24999999999989</v>
      </c>
      <c r="S11">
        <f>0</f>
        <v>0</v>
      </c>
      <c r="T11">
        <f>S11*Hypothèses!$B$17</f>
        <v>0</v>
      </c>
      <c r="U11">
        <f>Q11*Hypothèses!$B$5</f>
        <v>6.043277777777778</v>
      </c>
      <c r="V11">
        <f t="shared" si="3"/>
        <v>-62.965499999999878</v>
      </c>
      <c r="W11">
        <f t="shared" si="4"/>
        <v>-37.611749999999745</v>
      </c>
    </row>
    <row r="12" spans="1:23" x14ac:dyDescent="0.25">
      <c r="A12">
        <v>9</v>
      </c>
      <c r="B12">
        <f t="shared" si="0"/>
        <v>1</v>
      </c>
      <c r="C12">
        <f>ROUND(IF(MOD($A12,12)=0,G12,(IF(12=4,0,C11))*(1-$K12)+IF((IF(12=4,0,C11))*(1-$K12)&lt;G12,(G12-(IF(12=4,0,C11))*(1-$K12))*Hypothèses!$B$10,0)),1)</f>
        <v>2.2000000000000002</v>
      </c>
      <c r="D12">
        <f>ROUND(IF(MOD($A12,12)=0,H12,(IF(12=4,0,D11))*(1-$K12)+IF((IF(12=4,0,D11))*(1-$K12)&lt;H12,(H12-(IF(12=4,0,D11))*(1-$K12))*Hypothèses!$B$10,0)),1)</f>
        <v>4.3</v>
      </c>
      <c r="E12">
        <f>ROUND(IF(MOD($A12,12)=0,I12,(IF(12=4,0,E11))*(1-$K12)+IF((IF(12=4,0,E11))*(1-$K12)&lt;I12,(I12-(IF(12=4,0,E11))*(1-$K12))*Hypothèses!$B$10,0)),1)</f>
        <v>0</v>
      </c>
      <c r="F12">
        <f>ROUND(IF(MOD($A12,12)=0,J12,(IF(12=4,0,F11))*(1-$K12)+IF((IF(12=4,0,F11))*(1-$K12)&lt;J12,(J12-(IF(12=4,0,F11))*(1-$K12))*Hypothèses!$B$10,0)),1)</f>
        <v>0</v>
      </c>
      <c r="G12">
        <f>(IF(B12=1,0,IF(B12=2,Hypothèses!$B$26,IF(B12=3,Hypothèses!$C$26,Hypothèses!$D$26)))+(IF(B12=1,Hypothèses!$B$26,IF(B12=2,Hypothèses!$C$26,IF(B12=3,Hypothèses!$D$26,Hypothèses!$D$26)))-(IF(B12=1,0,IF(B12=2,Hypothèses!$B$26,IF(B12=3,Hypothèses!$C$26,Hypothèses!$D$26)))))*((A12)-INT((A12-1)/12)*12)/12)*$B$1</f>
        <v>2.625</v>
      </c>
      <c r="H12">
        <f>(IF(B12=1,0,IF(B12=2,Hypothèses!$B$27,IF(B12=3,Hypothèses!$C$27,Hypothèses!$D$27)))+(IF(B12=1,Hypothèses!$B$27,IF(B12=2,Hypothèses!$C$27,IF(B12=3,Hypothèses!$D$27,Hypothèses!$D$27)))-(IF(B12=1,0,IF(B12=2,Hypothèses!$B$27,IF(B12=3,Hypothèses!$C$27,Hypothèses!$D$27)))))*((A12)-INT((A12-1)/12)*12)/12)*$B$1</f>
        <v>5.25</v>
      </c>
      <c r="I12">
        <f>(IF(B12=1,0,IF(B12=2,Hypothèses!$B$28,IF(B12=3,Hypothèses!$C$28,Hypothèses!$D$28)))+(IF(B12=1,Hypothèses!$B$28,IF(B12=2,Hypothèses!$C$28,IF(B12=3,Hypothèses!$D$28,Hypothèses!$D$28)))-(IF(B12=1,0,IF(B12=2,Hypothèses!$B$28,IF(B12=3,Hypothèses!$C$28,Hypothèses!$D$28)))))*((A12)-INT((A12-1)/12)*12)/12)*$B$1</f>
        <v>0</v>
      </c>
      <c r="J12">
        <f>(IF(B12=1,0,IF(B12=2,Hypothèses!$B$29,IF(B12=3,Hypothèses!$C$29,Hypothèses!$D$29)))+(IF(B12=1,Hypothèses!$B$29,IF(B12=2,Hypothèses!$C$29,IF(B12=3,Hypothèses!$D$29,Hypothèses!$D$29)))-(IF(B12=1,0,IF(B12=2,Hypothèses!$B$29,IF(B12=3,Hypothèses!$C$29,Hypothèses!$D$29)))))*((A12)-INT((A12-1)/12)*12)/12)*$B$1</f>
        <v>0</v>
      </c>
      <c r="K12">
        <f>IF(A12&lt;Hypothèses!$B$7,0,Hypothèses!$B$8*(1-Hypothèses!$B$9)^(A12-Hypothèses!$B$7))</f>
        <v>0.05</v>
      </c>
      <c r="L12">
        <f t="shared" si="1"/>
        <v>6.5</v>
      </c>
      <c r="M12">
        <f>(C12*Hypothèses!$B$11+D12*Hypothèses!$B$12+E12*Hypothèses!$B$13+F12*Hypothèses!$B$14)*(IF(B12=1,Hypothèses!$B$20,IF(B12=2,Hypothèses!$B$21,Hypothèses!$B$22))+(1-(IF(B12=1,Hypothèses!$B$20,IF(B12=2,Hypothèses!$B$21,Hypothèses!$B$22))))*11/12)</f>
        <v>808.61666666666667</v>
      </c>
      <c r="N12">
        <f>L12*IF(B12=1,Hypothèses!$C$20,IF(B12=2,Hypothèses!$C$21,Hypothèses!$C$22))*IF(B12=1,Hypothèses!$D$20,IF(B12=2,Hypothèses!$D$21,Hypothèses!$D$22))</f>
        <v>6.5</v>
      </c>
      <c r="O12">
        <f>IF(A12=18,IF($B$2&gt;=1,Hypothèses!$B$33,0),IF(AND(OR(A12=30,A12=34),$D$2&gt;=1),Hypothèses!$B$34*MIN(1,$D$2/3),0))</f>
        <v>0</v>
      </c>
      <c r="P12">
        <f t="shared" si="2"/>
        <v>815.11666666666667</v>
      </c>
      <c r="Q12">
        <f>P12/(1+Hypothèses!$B$6)</f>
        <v>679.26388888888891</v>
      </c>
      <c r="R12">
        <f>Hypothèses!$B$3*(1+Hypothèses!$B$4)^INT((A12-1)/3)</f>
        <v>661.24999999999989</v>
      </c>
      <c r="S12">
        <f>0</f>
        <v>0</v>
      </c>
      <c r="T12">
        <f>S12*Hypothèses!$B$17</f>
        <v>0</v>
      </c>
      <c r="U12">
        <f>Q12*Hypothèses!$B$5</f>
        <v>6.7926388888888889</v>
      </c>
      <c r="V12">
        <f t="shared" si="3"/>
        <v>11.22125000000014</v>
      </c>
      <c r="W12">
        <f t="shared" si="4"/>
        <v>-26.390499999999605</v>
      </c>
    </row>
    <row r="13" spans="1:23" x14ac:dyDescent="0.25">
      <c r="A13">
        <v>10</v>
      </c>
      <c r="B13">
        <f t="shared" si="0"/>
        <v>1</v>
      </c>
      <c r="C13">
        <f>ROUND(IF(MOD($A13,12)=0,G13,(IF(13=4,0,C12))*(1-$K13)+IF((IF(13=4,0,C12))*(1-$K13)&lt;G13,(G13-(IF(13=4,0,C12))*(1-$K13))*Hypothèses!$B$10,0)),1)</f>
        <v>2.4</v>
      </c>
      <c r="D13">
        <f>ROUND(IF(MOD($A13,12)=0,H13,(IF(13=4,0,D12))*(1-$K13)+IF((IF(13=4,0,D12))*(1-$K13)&lt;H13,(H13-(IF(13=4,0,D12))*(1-$K13))*Hypothèses!$B$10,0)),1)</f>
        <v>4.8</v>
      </c>
      <c r="E13">
        <f>ROUND(IF(MOD($A13,12)=0,I13,(IF(13=4,0,E12))*(1-$K13)+IF((IF(13=4,0,E12))*(1-$K13)&lt;I13,(I13-(IF(13=4,0,E12))*(1-$K13))*Hypothèses!$B$10,0)),1)</f>
        <v>0</v>
      </c>
      <c r="F13">
        <f>ROUND(IF(MOD($A13,12)=0,J13,(IF(13=4,0,F12))*(1-$K13)+IF((IF(13=4,0,F12))*(1-$K13)&lt;J13,(J13-(IF(13=4,0,F12))*(1-$K13))*Hypothèses!$B$10,0)),1)</f>
        <v>0</v>
      </c>
      <c r="G13">
        <f>(IF(B13=1,0,IF(B13=2,Hypothèses!$B$26,IF(B13=3,Hypothèses!$C$26,Hypothèses!$D$26)))+(IF(B13=1,Hypothèses!$B$26,IF(B13=2,Hypothèses!$C$26,IF(B13=3,Hypothèses!$D$26,Hypothèses!$D$26)))-(IF(B13=1,0,IF(B13=2,Hypothèses!$B$26,IF(B13=3,Hypothèses!$C$26,Hypothèses!$D$26)))))*((A13)-INT((A13-1)/12)*12)/12)*$B$1</f>
        <v>2.9166666666666665</v>
      </c>
      <c r="H13">
        <f>(IF(B13=1,0,IF(B13=2,Hypothèses!$B$27,IF(B13=3,Hypothèses!$C$27,Hypothèses!$D$27)))+(IF(B13=1,Hypothèses!$B$27,IF(B13=2,Hypothèses!$C$27,IF(B13=3,Hypothèses!$D$27,Hypothèses!$D$27)))-(IF(B13=1,0,IF(B13=2,Hypothèses!$B$27,IF(B13=3,Hypothèses!$C$27,Hypothèses!$D$27)))))*((A13)-INT((A13-1)/12)*12)/12)*$B$1</f>
        <v>5.833333333333333</v>
      </c>
      <c r="I13">
        <f>(IF(B13=1,0,IF(B13=2,Hypothèses!$B$28,IF(B13=3,Hypothèses!$C$28,Hypothèses!$D$28)))+(IF(B13=1,Hypothèses!$B$28,IF(B13=2,Hypothèses!$C$28,IF(B13=3,Hypothèses!$D$28,Hypothèses!$D$28)))-(IF(B13=1,0,IF(B13=2,Hypothèses!$B$28,IF(B13=3,Hypothèses!$C$28,Hypothèses!$D$28)))))*((A13)-INT((A13-1)/12)*12)/12)*$B$1</f>
        <v>0</v>
      </c>
      <c r="J13">
        <f>(IF(B13=1,0,IF(B13=2,Hypothèses!$B$29,IF(B13=3,Hypothèses!$C$29,Hypothèses!$D$29)))+(IF(B13=1,Hypothèses!$B$29,IF(B13=2,Hypothèses!$C$29,IF(B13=3,Hypothèses!$D$29,Hypothèses!$D$29)))-(IF(B13=1,0,IF(B13=2,Hypothèses!$B$29,IF(B13=3,Hypothèses!$C$29,Hypothèses!$D$29)))))*((A13)-INT((A13-1)/12)*12)/12)*$B$1</f>
        <v>0</v>
      </c>
      <c r="K13">
        <f>IF(A13&lt;Hypothèses!$B$7,0,Hypothèses!$B$8*(1-Hypothèses!$B$9)^(A13-Hypothèses!$B$7))</f>
        <v>4.5000000000000005E-2</v>
      </c>
      <c r="L13">
        <f t="shared" si="1"/>
        <v>7.1999999999999993</v>
      </c>
      <c r="M13">
        <f>(C13*Hypothèses!$B$11+D13*Hypothèses!$B$12+E13*Hypothèses!$B$13+F13*Hypothèses!$B$14)*(IF(B13=1,Hypothèses!$B$20,IF(B13=2,Hypothèses!$B$21,Hypothèses!$B$22))+(1-(IF(B13=1,Hypothèses!$B$20,IF(B13=2,Hypothèses!$B$21,Hypothèses!$B$22))))*11/12)</f>
        <v>897.83999999999992</v>
      </c>
      <c r="N13">
        <f>L13*IF(B13=1,Hypothèses!$C$20,IF(B13=2,Hypothèses!$C$21,Hypothèses!$C$22))*IF(B13=1,Hypothèses!$D$20,IF(B13=2,Hypothèses!$D$21,Hypothèses!$D$22))</f>
        <v>7.1999999999999993</v>
      </c>
      <c r="O13">
        <f>IF(A13=18,IF($B$2&gt;=1,Hypothèses!$B$33,0),IF(AND(OR(A13=30,A13=34),$D$2&gt;=1),Hypothèses!$B$34*MIN(1,$D$2/3),0))</f>
        <v>0</v>
      </c>
      <c r="P13">
        <f t="shared" si="2"/>
        <v>905.04</v>
      </c>
      <c r="Q13">
        <f>P13/(1+Hypothèses!$B$6)</f>
        <v>754.2</v>
      </c>
      <c r="R13">
        <f>Hypothèses!$B$3*(1+Hypothèses!$B$4)^INT((A13-1)/3)</f>
        <v>760.43749999999977</v>
      </c>
      <c r="S13">
        <f>0</f>
        <v>0</v>
      </c>
      <c r="T13">
        <f>S13*Hypothèses!$B$17</f>
        <v>0</v>
      </c>
      <c r="U13">
        <f>Q13*Hypothèses!$B$5</f>
        <v>7.5420000000000007</v>
      </c>
      <c r="V13">
        <f t="shared" si="3"/>
        <v>-13.779499999999729</v>
      </c>
      <c r="W13">
        <f t="shared" si="4"/>
        <v>-40.169999999999334</v>
      </c>
    </row>
    <row r="14" spans="1:23" x14ac:dyDescent="0.25">
      <c r="A14">
        <v>11</v>
      </c>
      <c r="B14">
        <f t="shared" si="0"/>
        <v>1</v>
      </c>
      <c r="C14">
        <f>ROUND(IF(MOD($A14,12)=0,G14,(IF(14=4,0,C13))*(1-$K14)+IF((IF(14=4,0,C13))*(1-$K14)&lt;G14,(G14-(IF(14=4,0,C13))*(1-$K14))*Hypothèses!$B$10,0)),1)</f>
        <v>2.7</v>
      </c>
      <c r="D14">
        <f>ROUND(IF(MOD($A14,12)=0,H14,(IF(14=4,0,D13))*(1-$K14)+IF((IF(14=4,0,D13))*(1-$K14)&lt;H14,(H14-(IF(14=4,0,D13))*(1-$K14))*Hypothèses!$B$10,0)),1)</f>
        <v>5.3</v>
      </c>
      <c r="E14">
        <f>ROUND(IF(MOD($A14,12)=0,I14,(IF(14=4,0,E13))*(1-$K14)+IF((IF(14=4,0,E13))*(1-$K14)&lt;I14,(I14-(IF(14=4,0,E13))*(1-$K14))*Hypothèses!$B$10,0)),1)</f>
        <v>0</v>
      </c>
      <c r="F14">
        <f>ROUND(IF(MOD($A14,12)=0,J14,(IF(14=4,0,F13))*(1-$K14)+IF((IF(14=4,0,F13))*(1-$K14)&lt;J14,(J14-(IF(14=4,0,F13))*(1-$K14))*Hypothèses!$B$10,0)),1)</f>
        <v>0</v>
      </c>
      <c r="G14">
        <f>(IF(B14=1,0,IF(B14=2,Hypothèses!$B$26,IF(B14=3,Hypothèses!$C$26,Hypothèses!$D$26)))+(IF(B14=1,Hypothèses!$B$26,IF(B14=2,Hypothèses!$C$26,IF(B14=3,Hypothèses!$D$26,Hypothèses!$D$26)))-(IF(B14=1,0,IF(B14=2,Hypothèses!$B$26,IF(B14=3,Hypothèses!$C$26,Hypothèses!$D$26)))))*((A14)-INT((A14-1)/12)*12)/12)*$B$1</f>
        <v>3.208333333333333</v>
      </c>
      <c r="H14">
        <f>(IF(B14=1,0,IF(B14=2,Hypothèses!$B$27,IF(B14=3,Hypothèses!$C$27,Hypothèses!$D$27)))+(IF(B14=1,Hypothèses!$B$27,IF(B14=2,Hypothèses!$C$27,IF(B14=3,Hypothèses!$D$27,Hypothèses!$D$27)))-(IF(B14=1,0,IF(B14=2,Hypothèses!$B$27,IF(B14=3,Hypothèses!$C$27,Hypothèses!$D$27)))))*((A14)-INT((A14-1)/12)*12)/12)*$B$1</f>
        <v>6.4166666666666661</v>
      </c>
      <c r="I14">
        <f>(IF(B14=1,0,IF(B14=2,Hypothèses!$B$28,IF(B14=3,Hypothèses!$C$28,Hypothèses!$D$28)))+(IF(B14=1,Hypothèses!$B$28,IF(B14=2,Hypothèses!$C$28,IF(B14=3,Hypothèses!$D$28,Hypothèses!$D$28)))-(IF(B14=1,0,IF(B14=2,Hypothèses!$B$28,IF(B14=3,Hypothèses!$C$28,Hypothèses!$D$28)))))*((A14)-INT((A14-1)/12)*12)/12)*$B$1</f>
        <v>0</v>
      </c>
      <c r="J14">
        <f>(IF(B14=1,0,IF(B14=2,Hypothèses!$B$29,IF(B14=3,Hypothèses!$C$29,Hypothèses!$D$29)))+(IF(B14=1,Hypothèses!$B$29,IF(B14=2,Hypothèses!$C$29,IF(B14=3,Hypothèses!$D$29,Hypothèses!$D$29)))-(IF(B14=1,0,IF(B14=2,Hypothèses!$B$29,IF(B14=3,Hypothèses!$C$29,Hypothèses!$D$29)))))*((A14)-INT((A14-1)/12)*12)/12)*$B$1</f>
        <v>0</v>
      </c>
      <c r="K14">
        <f>IF(A14&lt;Hypothèses!$B$7,0,Hypothèses!$B$8*(1-Hypothèses!$B$9)^(A14-Hypothèses!$B$7))</f>
        <v>4.0500000000000008E-2</v>
      </c>
      <c r="L14">
        <f t="shared" si="1"/>
        <v>8</v>
      </c>
      <c r="M14">
        <f>(C14*Hypothèses!$B$11+D14*Hypothèses!$B$12+E14*Hypothèses!$B$13+F14*Hypothèses!$B$14)*(IF(B14=1,Hypothèses!$B$20,IF(B14=2,Hypothèses!$B$21,Hypothèses!$B$22))+(1-(IF(B14=1,Hypothèses!$B$20,IF(B14=2,Hypothèses!$B$21,Hypothèses!$B$22))))*11/12)</f>
        <v>995.66666666666663</v>
      </c>
      <c r="N14">
        <f>L14*IF(B14=1,Hypothèses!$C$20,IF(B14=2,Hypothèses!$C$21,Hypothèses!$C$22))*IF(B14=1,Hypothèses!$D$20,IF(B14=2,Hypothèses!$D$21,Hypothèses!$D$22))</f>
        <v>8</v>
      </c>
      <c r="O14">
        <f>IF(A14=18,IF($B$2&gt;=1,Hypothèses!$B$33,0),IF(AND(OR(A14=30,A14=34),$D$2&gt;=1),Hypothèses!$B$34*MIN(1,$D$2/3),0))</f>
        <v>0</v>
      </c>
      <c r="P14">
        <f t="shared" si="2"/>
        <v>1003.6666666666666</v>
      </c>
      <c r="Q14">
        <f>P14/(1+Hypothèses!$B$6)</f>
        <v>836.38888888888891</v>
      </c>
      <c r="R14">
        <f>Hypothèses!$B$3*(1+Hypothèses!$B$4)^INT((A14-1)/3)</f>
        <v>760.43749999999977</v>
      </c>
      <c r="S14">
        <f>0</f>
        <v>0</v>
      </c>
      <c r="T14">
        <f>S14*Hypothèses!$B$17</f>
        <v>0</v>
      </c>
      <c r="U14">
        <f>Q14*Hypothèses!$B$5</f>
        <v>8.3638888888888889</v>
      </c>
      <c r="V14">
        <f t="shared" si="3"/>
        <v>67.587500000000247</v>
      </c>
      <c r="W14">
        <f t="shared" si="4"/>
        <v>27.417500000000913</v>
      </c>
    </row>
    <row r="15" spans="1:23" x14ac:dyDescent="0.25">
      <c r="A15">
        <v>12</v>
      </c>
      <c r="B15">
        <f t="shared" si="0"/>
        <v>1</v>
      </c>
      <c r="C15">
        <f>ROUND(IF(MOD($A15,12)=0,G15,(IF(15=4,0,C14))*(1-$K15)+IF((IF(15=4,0,C14))*(1-$K15)&lt;G15,(G15-(IF(15=4,0,C14))*(1-$K15))*Hypothèses!$B$10,0)),1)</f>
        <v>3.5</v>
      </c>
      <c r="D15">
        <f>ROUND(IF(MOD($A15,12)=0,H15,(IF(15=4,0,D14))*(1-$K15)+IF((IF(15=4,0,D14))*(1-$K15)&lt;H15,(H15-(IF(15=4,0,D14))*(1-$K15))*Hypothèses!$B$10,0)),1)</f>
        <v>7</v>
      </c>
      <c r="E15">
        <f>ROUND(IF(MOD($A15,12)=0,I15,(IF(15=4,0,E14))*(1-$K15)+IF((IF(15=4,0,E14))*(1-$K15)&lt;I15,(I15-(IF(15=4,0,E14))*(1-$K15))*Hypothèses!$B$10,0)),1)</f>
        <v>0</v>
      </c>
      <c r="F15">
        <f>ROUND(IF(MOD($A15,12)=0,J15,(IF(15=4,0,F14))*(1-$K15)+IF((IF(15=4,0,F14))*(1-$K15)&lt;J15,(J15-(IF(15=4,0,F14))*(1-$K15))*Hypothèses!$B$10,0)),1)</f>
        <v>0</v>
      </c>
      <c r="G15">
        <f>(IF(B15=1,0,IF(B15=2,Hypothèses!$B$26,IF(B15=3,Hypothèses!$C$26,Hypothèses!$D$26)))+(IF(B15=1,Hypothèses!$B$26,IF(B15=2,Hypothèses!$C$26,IF(B15=3,Hypothèses!$D$26,Hypothèses!$D$26)))-(IF(B15=1,0,IF(B15=2,Hypothèses!$B$26,IF(B15=3,Hypothèses!$C$26,Hypothèses!$D$26)))))*((A15)-INT((A15-1)/12)*12)/12)*$B$1</f>
        <v>3.5</v>
      </c>
      <c r="H15">
        <f>(IF(B15=1,0,IF(B15=2,Hypothèses!$B$27,IF(B15=3,Hypothèses!$C$27,Hypothèses!$D$27)))+(IF(B15=1,Hypothèses!$B$27,IF(B15=2,Hypothèses!$C$27,IF(B15=3,Hypothèses!$D$27,Hypothèses!$D$27)))-(IF(B15=1,0,IF(B15=2,Hypothèses!$B$27,IF(B15=3,Hypothèses!$C$27,Hypothèses!$D$27)))))*((A15)-INT((A15-1)/12)*12)/12)*$B$1</f>
        <v>7</v>
      </c>
      <c r="I15">
        <f>(IF(B15=1,0,IF(B15=2,Hypothèses!$B$28,IF(B15=3,Hypothèses!$C$28,Hypothèses!$D$28)))+(IF(B15=1,Hypothèses!$B$28,IF(B15=2,Hypothèses!$C$28,IF(B15=3,Hypothèses!$D$28,Hypothèses!$D$28)))-(IF(B15=1,0,IF(B15=2,Hypothèses!$B$28,IF(B15=3,Hypothèses!$C$28,Hypothèses!$D$28)))))*((A15)-INT((A15-1)/12)*12)/12)*$B$1</f>
        <v>0</v>
      </c>
      <c r="J15">
        <f>(IF(B15=1,0,IF(B15=2,Hypothèses!$B$29,IF(B15=3,Hypothèses!$C$29,Hypothèses!$D$29)))+(IF(B15=1,Hypothèses!$B$29,IF(B15=2,Hypothèses!$C$29,IF(B15=3,Hypothèses!$D$29,Hypothèses!$D$29)))-(IF(B15=1,0,IF(B15=2,Hypothèses!$B$29,IF(B15=3,Hypothèses!$C$29,Hypothèses!$D$29)))))*((A15)-INT((A15-1)/12)*12)/12)*$B$1</f>
        <v>0</v>
      </c>
      <c r="K15">
        <f>IF(A15&lt;Hypothèses!$B$7,0,Hypothèses!$B$8*(1-Hypothèses!$B$9)^(A15-Hypothèses!$B$7))</f>
        <v>3.6450000000000003E-2</v>
      </c>
      <c r="L15">
        <f t="shared" si="1"/>
        <v>10.5</v>
      </c>
      <c r="M15">
        <f>(C15*Hypothèses!$B$11+D15*Hypothèses!$B$12+E15*Hypothèses!$B$13+F15*Hypothèses!$B$14)*(IF(B15=1,Hypothèses!$B$20,IF(B15=2,Hypothèses!$B$21,Hypothèses!$B$22))+(1-(IF(B15=1,Hypothèses!$B$20,IF(B15=2,Hypothèses!$B$21,Hypothèses!$B$22))))*11/12)</f>
        <v>1309.3499999999999</v>
      </c>
      <c r="N15">
        <f>L15*IF(B15=1,Hypothèses!$C$20,IF(B15=2,Hypothèses!$C$21,Hypothèses!$C$22))*IF(B15=1,Hypothèses!$D$20,IF(B15=2,Hypothèses!$D$21,Hypothèses!$D$22))</f>
        <v>10.5</v>
      </c>
      <c r="O15">
        <f>IF(A15=18,IF($B$2&gt;=1,Hypothèses!$B$33,0),IF(AND(OR(A15=30,A15=34),$D$2&gt;=1),Hypothèses!$B$34*MIN(1,$D$2/3),0))</f>
        <v>0</v>
      </c>
      <c r="P15">
        <f t="shared" si="2"/>
        <v>1319.85</v>
      </c>
      <c r="Q15">
        <f>P15/(1+Hypothèses!$B$6)</f>
        <v>1099.875</v>
      </c>
      <c r="R15">
        <f>Hypothèses!$B$3*(1+Hypothèses!$B$4)^INT((A15-1)/3)</f>
        <v>760.43749999999977</v>
      </c>
      <c r="S15">
        <f>0</f>
        <v>0</v>
      </c>
      <c r="T15">
        <f>S15*Hypothèses!$B$17</f>
        <v>0</v>
      </c>
      <c r="U15">
        <f>Q15*Hypothèses!$B$5</f>
        <v>10.998749999999999</v>
      </c>
      <c r="V15">
        <f t="shared" si="3"/>
        <v>328.43875000000025</v>
      </c>
      <c r="W15">
        <f t="shared" si="4"/>
        <v>355.85625000000118</v>
      </c>
    </row>
    <row r="16" spans="1:23" x14ac:dyDescent="0.25">
      <c r="A16">
        <v>13</v>
      </c>
      <c r="B16">
        <f t="shared" si="0"/>
        <v>2</v>
      </c>
      <c r="C16">
        <f>ROUND(IF(MOD($A16,12)=0,G16,(IF(16=4,0,C15))*(1-$K16)+IF((IF(16=4,0,C15))*(1-$K16)&lt;G16,(G16-(IF(16=4,0,C15))*(1-$K16))*Hypothèses!$B$10,0)),1)</f>
        <v>3.5</v>
      </c>
      <c r="D16">
        <f>ROUND(IF(MOD($A16,12)=0,H16,(IF(16=4,0,D15))*(1-$K16)+IF((IF(16=4,0,D15))*(1-$K16)&lt;H16,(H16-(IF(16=4,0,D15))*(1-$K16))*Hypothèses!$B$10,0)),1)</f>
        <v>7.4</v>
      </c>
      <c r="E16">
        <f>ROUND(IF(MOD($A16,12)=0,I16,(IF(16=4,0,E15))*(1-$K16)+IF((IF(16=4,0,E15))*(1-$K16)&lt;I16,(I16-(IF(16=4,0,E15))*(1-$K16))*Hypothèses!$B$10,0)),1)</f>
        <v>0</v>
      </c>
      <c r="F16">
        <f>ROUND(IF(MOD($A16,12)=0,J16,(IF(16=4,0,F15))*(1-$K16)+IF((IF(16=4,0,F15))*(1-$K16)&lt;J16,(J16-(IF(16=4,0,F15))*(1-$K16))*Hypothèses!$B$10,0)),1)</f>
        <v>0</v>
      </c>
      <c r="G16">
        <f>(IF(B16=1,0,IF(B16=2,Hypothèses!$B$26,IF(B16=3,Hypothèses!$C$26,Hypothèses!$D$26)))+(IF(B16=1,Hypothèses!$B$26,IF(B16=2,Hypothèses!$C$26,IF(B16=3,Hypothèses!$D$26,Hypothèses!$D$26)))-(IF(B16=1,0,IF(B16=2,Hypothèses!$B$26,IF(B16=3,Hypothèses!$C$26,Hypothèses!$D$26)))))*((A16)-INT((A16-1)/12)*12)/12)*$B$1</f>
        <v>3.7916666666666665</v>
      </c>
      <c r="H16">
        <f>(IF(B16=1,0,IF(B16=2,Hypothèses!$B$27,IF(B16=3,Hypothèses!$C$27,Hypothèses!$D$27)))+(IF(B16=1,Hypothèses!$B$27,IF(B16=2,Hypothèses!$C$27,IF(B16=3,Hypothèses!$D$27,Hypothèses!$D$27)))-(IF(B16=1,0,IF(B16=2,Hypothèses!$B$27,IF(B16=3,Hypothèses!$C$27,Hypothèses!$D$27)))))*((A16)-INT((A16-1)/12)*12)/12)*$B$1</f>
        <v>8.4583333333333339</v>
      </c>
      <c r="I16">
        <f>(IF(B16=1,0,IF(B16=2,Hypothèses!$B$28,IF(B16=3,Hypothèses!$C$28,Hypothèses!$D$28)))+(IF(B16=1,Hypothèses!$B$28,IF(B16=2,Hypothèses!$C$28,IF(B16=3,Hypothèses!$D$28,Hypothèses!$D$28)))-(IF(B16=1,0,IF(B16=2,Hypothèses!$B$28,IF(B16=3,Hypothèses!$C$28,Hypothèses!$D$28)))))*((A16)-INT((A16-1)/12)*12)/12)*$B$1</f>
        <v>5.8333333333333327E-2</v>
      </c>
      <c r="J16">
        <f>(IF(B16=1,0,IF(B16=2,Hypothèses!$B$29,IF(B16=3,Hypothèses!$C$29,Hypothèses!$D$29)))+(IF(B16=1,Hypothèses!$B$29,IF(B16=2,Hypothèses!$C$29,IF(B16=3,Hypothèses!$D$29,Hypothèses!$D$29)))-(IF(B16=1,0,IF(B16=2,Hypothèses!$B$29,IF(B16=3,Hypothèses!$C$29,Hypothèses!$D$29)))))*((A16)-INT((A16-1)/12)*12)/12)*$B$1</f>
        <v>5.8333333333333327E-2</v>
      </c>
      <c r="K16">
        <f>IF(A16&lt;Hypothèses!$B$7,0,Hypothèses!$B$8*(1-Hypothèses!$B$9)^(A16-Hypothèses!$B$7))</f>
        <v>3.2805000000000008E-2</v>
      </c>
      <c r="L16">
        <f t="shared" si="1"/>
        <v>10.9</v>
      </c>
      <c r="M16">
        <f>(C16*Hypothèses!$B$11+D16*Hypothèses!$B$12+E16*Hypothèses!$B$13+F16*Hypothèses!$B$14)*(IF(B16=1,Hypothèses!$B$20,IF(B16=2,Hypothèses!$B$21,Hypothèses!$B$22))+(1-(IF(B16=1,Hypothèses!$B$20,IF(B16=2,Hypothèses!$B$21,Hypothèses!$B$22))))*11/12)</f>
        <v>1355.1791666666668</v>
      </c>
      <c r="N16">
        <f>L16*IF(B16=1,Hypothèses!$C$20,IF(B16=2,Hypothèses!$C$21,Hypothèses!$C$22))*IF(B16=1,Hypothèses!$D$20,IF(B16=2,Hypothèses!$D$21,Hypothèses!$D$22))</f>
        <v>27.250000000000004</v>
      </c>
      <c r="O16">
        <f>IF(A16=18,IF($B$2&gt;=1,Hypothèses!$B$33,0),IF(AND(OR(A16=30,A16=34),$D$2&gt;=1),Hypothèses!$B$34*MIN(1,$D$2/3),0))</f>
        <v>0</v>
      </c>
      <c r="P16">
        <f t="shared" si="2"/>
        <v>1382.4291666666668</v>
      </c>
      <c r="Q16">
        <f>P16/(1+Hypothèses!$B$6)</f>
        <v>1152.0243055555557</v>
      </c>
      <c r="R16">
        <f>Hypothèses!$B$3*(1+Hypothèses!$B$4)^INT((A16-1)/3)</f>
        <v>874.50312499999973</v>
      </c>
      <c r="S16">
        <f>0</f>
        <v>0</v>
      </c>
      <c r="T16">
        <f>S16*Hypothèses!$B$17</f>
        <v>0</v>
      </c>
      <c r="U16">
        <f>Q16*Hypothèses!$B$5</f>
        <v>11.520243055555557</v>
      </c>
      <c r="V16">
        <f t="shared" si="3"/>
        <v>266.00093750000036</v>
      </c>
      <c r="W16">
        <f t="shared" si="4"/>
        <v>621.8571875000016</v>
      </c>
    </row>
    <row r="17" spans="1:23" x14ac:dyDescent="0.25">
      <c r="A17">
        <v>14</v>
      </c>
      <c r="B17">
        <f t="shared" si="0"/>
        <v>2</v>
      </c>
      <c r="C17">
        <f>ROUND(IF(MOD($A17,12)=0,G17,(IF(17=4,0,C16))*(1-$K17)+IF((IF(17=4,0,C16))*(1-$K17)&lt;G17,(G17-(IF(17=4,0,C16))*(1-$K17))*Hypothèses!$B$10,0)),1)</f>
        <v>3.7</v>
      </c>
      <c r="D17">
        <f>ROUND(IF(MOD($A17,12)=0,H17,(IF(17=4,0,D16))*(1-$K17)+IF((IF(17=4,0,D16))*(1-$K17)&lt;H17,(H17-(IF(17=4,0,D16))*(1-$K17))*Hypothèses!$B$10,0)),1)</f>
        <v>8.3000000000000007</v>
      </c>
      <c r="E17">
        <f>ROUND(IF(MOD($A17,12)=0,I17,(IF(17=4,0,E16))*(1-$K17)+IF((IF(17=4,0,E16))*(1-$K17)&lt;I17,(I17-(IF(17=4,0,E16))*(1-$K17))*Hypothèses!$B$10,0)),1)</f>
        <v>0</v>
      </c>
      <c r="F17">
        <f>ROUND(IF(MOD($A17,12)=0,J17,(IF(17=4,0,F16))*(1-$K17)+IF((IF(17=4,0,F16))*(1-$K17)&lt;J17,(J17-(IF(17=4,0,F16))*(1-$K17))*Hypothèses!$B$10,0)),1)</f>
        <v>0</v>
      </c>
      <c r="G17">
        <f>(IF(B17=1,0,IF(B17=2,Hypothèses!$B$26,IF(B17=3,Hypothèses!$C$26,Hypothèses!$D$26)))+(IF(B17=1,Hypothèses!$B$26,IF(B17=2,Hypothèses!$C$26,IF(B17=3,Hypothèses!$D$26,Hypothèses!$D$26)))-(IF(B17=1,0,IF(B17=2,Hypothèses!$B$26,IF(B17=3,Hypothèses!$C$26,Hypothèses!$D$26)))))*((A17)-INT((A17-1)/12)*12)/12)*$B$1</f>
        <v>4.083333333333333</v>
      </c>
      <c r="H17">
        <f>(IF(B17=1,0,IF(B17=2,Hypothèses!$B$27,IF(B17=3,Hypothèses!$C$27,Hypothèses!$D$27)))+(IF(B17=1,Hypothèses!$B$27,IF(B17=2,Hypothèses!$C$27,IF(B17=3,Hypothèses!$D$27,Hypothèses!$D$27)))-(IF(B17=1,0,IF(B17=2,Hypothèses!$B$27,IF(B17=3,Hypothèses!$C$27,Hypothèses!$D$27)))))*((A17)-INT((A17-1)/12)*12)/12)*$B$1</f>
        <v>9.9166666666666661</v>
      </c>
      <c r="I17">
        <f>(IF(B17=1,0,IF(B17=2,Hypothèses!$B$28,IF(B17=3,Hypothèses!$C$28,Hypothèses!$D$28)))+(IF(B17=1,Hypothèses!$B$28,IF(B17=2,Hypothèses!$C$28,IF(B17=3,Hypothèses!$D$28,Hypothèses!$D$28)))-(IF(B17=1,0,IF(B17=2,Hypothèses!$B$28,IF(B17=3,Hypothèses!$C$28,Hypothèses!$D$28)))))*((A17)-INT((A17-1)/12)*12)/12)*$B$1</f>
        <v>0.11666666666666665</v>
      </c>
      <c r="J17">
        <f>(IF(B17=1,0,IF(B17=2,Hypothèses!$B$29,IF(B17=3,Hypothèses!$C$29,Hypothèses!$D$29)))+(IF(B17=1,Hypothèses!$B$29,IF(B17=2,Hypothèses!$C$29,IF(B17=3,Hypothèses!$D$29,Hypothèses!$D$29)))-(IF(B17=1,0,IF(B17=2,Hypothèses!$B$29,IF(B17=3,Hypothèses!$C$29,Hypothèses!$D$29)))))*((A17)-INT((A17-1)/12)*12)/12)*$B$1</f>
        <v>0.11666666666666665</v>
      </c>
      <c r="K17">
        <f>IF(A17&lt;Hypothèses!$B$7,0,Hypothèses!$B$8*(1-Hypothèses!$B$9)^(A17-Hypothèses!$B$7))</f>
        <v>2.9524500000000009E-2</v>
      </c>
      <c r="L17">
        <f t="shared" si="1"/>
        <v>12</v>
      </c>
      <c r="M17">
        <f>(C17*Hypothèses!$B$11+D17*Hypothèses!$B$12+E17*Hypothèses!$B$13+F17*Hypothèses!$B$14)*(IF(B17=1,Hypothèses!$B$20,IF(B17=2,Hypothèses!$B$21,Hypothèses!$B$22))+(1-(IF(B17=1,Hypothèses!$B$20,IF(B17=2,Hypothèses!$B$21,Hypothèses!$B$22))))*11/12)</f>
        <v>1500.7499999999998</v>
      </c>
      <c r="N17">
        <f>L17*IF(B17=1,Hypothèses!$C$20,IF(B17=2,Hypothèses!$C$21,Hypothèses!$C$22))*IF(B17=1,Hypothèses!$D$20,IF(B17=2,Hypothèses!$D$21,Hypothèses!$D$22))</f>
        <v>30.000000000000004</v>
      </c>
      <c r="O17">
        <f>IF(A17=18,IF($B$2&gt;=1,Hypothèses!$B$33,0),IF(AND(OR(A17=30,A17=34),$D$2&gt;=1),Hypothèses!$B$34*MIN(1,$D$2/3),0))</f>
        <v>0</v>
      </c>
      <c r="P17">
        <f t="shared" si="2"/>
        <v>1530.7499999999998</v>
      </c>
      <c r="Q17">
        <f>P17/(1+Hypothèses!$B$6)</f>
        <v>1275.6249999999998</v>
      </c>
      <c r="R17">
        <f>Hypothèses!$B$3*(1+Hypothèses!$B$4)^INT((A17-1)/3)</f>
        <v>874.50312499999973</v>
      </c>
      <c r="S17">
        <f>0</f>
        <v>0</v>
      </c>
      <c r="T17">
        <f>S17*Hypothèses!$B$17</f>
        <v>0</v>
      </c>
      <c r="U17">
        <f>Q17*Hypothèses!$B$5</f>
        <v>12.756249999999998</v>
      </c>
      <c r="V17">
        <f t="shared" si="3"/>
        <v>388.36562500000002</v>
      </c>
      <c r="W17">
        <f t="shared" si="4"/>
        <v>1010.2228125000016</v>
      </c>
    </row>
    <row r="18" spans="1:23" x14ac:dyDescent="0.25">
      <c r="A18">
        <v>15</v>
      </c>
      <c r="B18">
        <f t="shared" si="0"/>
        <v>2</v>
      </c>
      <c r="C18">
        <f>ROUND(IF(MOD($A18,12)=0,G18,(IF(18=4,0,C17))*(1-$K18)+IF((IF(18=4,0,C17))*(1-$K18)&lt;G18,(G18-(IF(18=4,0,C17))*(1-$K18))*Hypothèses!$B$10,0)),1)</f>
        <v>3.9</v>
      </c>
      <c r="D18">
        <f>ROUND(IF(MOD($A18,12)=0,H18,(IF(18=4,0,D17))*(1-$K18)+IF((IF(18=4,0,D17))*(1-$K18)&lt;H18,(H18-(IF(18=4,0,D17))*(1-$K18))*Hypothèses!$B$10,0)),1)</f>
        <v>9.4</v>
      </c>
      <c r="E18">
        <f>ROUND(IF(MOD($A18,12)=0,I18,(IF(18=4,0,E17))*(1-$K18)+IF((IF(18=4,0,E17))*(1-$K18)&lt;I18,(I18-(IF(18=4,0,E17))*(1-$K18))*Hypothèses!$B$10,0)),1)</f>
        <v>0.1</v>
      </c>
      <c r="F18">
        <f>ROUND(IF(MOD($A18,12)=0,J18,(IF(18=4,0,F17))*(1-$K18)+IF((IF(18=4,0,F17))*(1-$K18)&lt;J18,(J18-(IF(18=4,0,F17))*(1-$K18))*Hypothèses!$B$10,0)),1)</f>
        <v>0.1</v>
      </c>
      <c r="G18">
        <f>(IF(B18=1,0,IF(B18=2,Hypothèses!$B$26,IF(B18=3,Hypothèses!$C$26,Hypothèses!$D$26)))+(IF(B18=1,Hypothèses!$B$26,IF(B18=2,Hypothèses!$C$26,IF(B18=3,Hypothèses!$D$26,Hypothèses!$D$26)))-(IF(B18=1,0,IF(B18=2,Hypothèses!$B$26,IF(B18=3,Hypothèses!$C$26,Hypothèses!$D$26)))))*((A18)-INT((A18-1)/12)*12)/12)*$B$1</f>
        <v>4.375</v>
      </c>
      <c r="H18">
        <f>(IF(B18=1,0,IF(B18=2,Hypothèses!$B$27,IF(B18=3,Hypothèses!$C$27,Hypothèses!$D$27)))+(IF(B18=1,Hypothèses!$B$27,IF(B18=2,Hypothèses!$C$27,IF(B18=3,Hypothèses!$D$27,Hypothèses!$D$27)))-(IF(B18=1,0,IF(B18=2,Hypothèses!$B$27,IF(B18=3,Hypothèses!$C$27,Hypothèses!$D$27)))))*((A18)-INT((A18-1)/12)*12)/12)*$B$1</f>
        <v>11.375</v>
      </c>
      <c r="I18">
        <f>(IF(B18=1,0,IF(B18=2,Hypothèses!$B$28,IF(B18=3,Hypothèses!$C$28,Hypothèses!$D$28)))+(IF(B18=1,Hypothèses!$B$28,IF(B18=2,Hypothèses!$C$28,IF(B18=3,Hypothèses!$D$28,Hypothèses!$D$28)))-(IF(B18=1,0,IF(B18=2,Hypothèses!$B$28,IF(B18=3,Hypothèses!$C$28,Hypothèses!$D$28)))))*((A18)-INT((A18-1)/12)*12)/12)*$B$1</f>
        <v>0.17499999999999999</v>
      </c>
      <c r="J18">
        <f>(IF(B18=1,0,IF(B18=2,Hypothèses!$B$29,IF(B18=3,Hypothèses!$C$29,Hypothèses!$D$29)))+(IF(B18=1,Hypothèses!$B$29,IF(B18=2,Hypothèses!$C$29,IF(B18=3,Hypothèses!$D$29,Hypothèses!$D$29)))-(IF(B18=1,0,IF(B18=2,Hypothèses!$B$29,IF(B18=3,Hypothèses!$C$29,Hypothèses!$D$29)))))*((A18)-INT((A18-1)/12)*12)/12)*$B$1</f>
        <v>0.17499999999999999</v>
      </c>
      <c r="K18">
        <f>IF(A18&lt;Hypothèses!$B$7,0,Hypothèses!$B$8*(1-Hypothèses!$B$9)^(A18-Hypothèses!$B$7))</f>
        <v>2.657205000000001E-2</v>
      </c>
      <c r="L18">
        <f t="shared" si="1"/>
        <v>13.5</v>
      </c>
      <c r="M18">
        <f>(C18*Hypothèses!$B$11+D18*Hypothèses!$B$12+E18*Hypothèses!$B$13+F18*Hypothèses!$B$14)*(IF(B18=1,Hypothèses!$B$20,IF(B18=2,Hypothèses!$B$21,Hypothèses!$B$22))+(1-(IF(B18=1,Hypothèses!$B$20,IF(B18=2,Hypothèses!$B$21,Hypothèses!$B$22))))*11/12)</f>
        <v>1817.575</v>
      </c>
      <c r="N18">
        <f>L18*IF(B18=1,Hypothèses!$C$20,IF(B18=2,Hypothèses!$C$21,Hypothèses!$C$22))*IF(B18=1,Hypothèses!$D$20,IF(B18=2,Hypothèses!$D$21,Hypothèses!$D$22))</f>
        <v>33.75</v>
      </c>
      <c r="O18">
        <f>IF(A18=18,IF($B$2&gt;=1,Hypothèses!$B$33,0),IF(AND(OR(A18=30,A18=34),$D$2&gt;=1),Hypothèses!$B$34*MIN(1,$D$2/3),0))</f>
        <v>0</v>
      </c>
      <c r="P18">
        <f t="shared" si="2"/>
        <v>1851.325</v>
      </c>
      <c r="Q18">
        <f>P18/(1+Hypothèses!$B$6)</f>
        <v>1542.7708333333335</v>
      </c>
      <c r="R18">
        <f>Hypothèses!$B$3*(1+Hypothèses!$B$4)^INT((A18-1)/3)</f>
        <v>874.50312499999973</v>
      </c>
      <c r="S18">
        <f>0</f>
        <v>0</v>
      </c>
      <c r="T18">
        <f>S18*Hypothèses!$B$17</f>
        <v>0</v>
      </c>
      <c r="U18">
        <f>Q18*Hypothèses!$B$5</f>
        <v>15.427708333333335</v>
      </c>
      <c r="V18">
        <f t="shared" si="3"/>
        <v>652.84000000000037</v>
      </c>
      <c r="W18">
        <f t="shared" si="4"/>
        <v>1663.0628125000021</v>
      </c>
    </row>
    <row r="19" spans="1:23" x14ac:dyDescent="0.25">
      <c r="A19">
        <v>16</v>
      </c>
      <c r="B19">
        <f t="shared" si="0"/>
        <v>2</v>
      </c>
      <c r="C19">
        <f>ROUND(IF(MOD($A19,12)=0,G19,(IF(19=4,0,C18))*(1-$K19)+IF((IF(19=4,0,C18))*(1-$K19)&lt;G19,(G19-(IF(19=4,0,C18))*(1-$K19))*Hypothèses!$B$10,0)),1)</f>
        <v>4.2</v>
      </c>
      <c r="D19">
        <f>ROUND(IF(MOD($A19,12)=0,H19,(IF(19=4,0,D18))*(1-$K19)+IF((IF(19=4,0,D18))*(1-$K19)&lt;H19,(H19-(IF(19=4,0,D18))*(1-$K19))*Hypothèses!$B$10,0)),1)</f>
        <v>10.6</v>
      </c>
      <c r="E19">
        <f>ROUND(IF(MOD($A19,12)=0,I19,(IF(19=4,0,E18))*(1-$K19)+IF((IF(19=4,0,E18))*(1-$K19)&lt;I19,(I19-(IF(19=4,0,E18))*(1-$K19))*Hypothèses!$B$10,0)),1)</f>
        <v>0.2</v>
      </c>
      <c r="F19">
        <f>ROUND(IF(MOD($A19,12)=0,J19,(IF(19=4,0,F18))*(1-$K19)+IF((IF(19=4,0,F18))*(1-$K19)&lt;J19,(J19-(IF(19=4,0,F18))*(1-$K19))*Hypothèses!$B$10,0)),1)</f>
        <v>0.2</v>
      </c>
      <c r="G19">
        <f>(IF(B19=1,0,IF(B19=2,Hypothèses!$B$26,IF(B19=3,Hypothèses!$C$26,Hypothèses!$D$26)))+(IF(B19=1,Hypothèses!$B$26,IF(B19=2,Hypothèses!$C$26,IF(B19=3,Hypothèses!$D$26,Hypothèses!$D$26)))-(IF(B19=1,0,IF(B19=2,Hypothèses!$B$26,IF(B19=3,Hypothèses!$C$26,Hypothèses!$D$26)))))*((A19)-INT((A19-1)/12)*12)/12)*$B$1</f>
        <v>4.666666666666667</v>
      </c>
      <c r="H19">
        <f>(IF(B19=1,0,IF(B19=2,Hypothèses!$B$27,IF(B19=3,Hypothèses!$C$27,Hypothèses!$D$27)))+(IF(B19=1,Hypothèses!$B$27,IF(B19=2,Hypothèses!$C$27,IF(B19=3,Hypothèses!$D$27,Hypothèses!$D$27)))-(IF(B19=1,0,IF(B19=2,Hypothèses!$B$27,IF(B19=3,Hypothèses!$C$27,Hypothèses!$D$27)))))*((A19)-INT((A19-1)/12)*12)/12)*$B$1</f>
        <v>12.833333333333334</v>
      </c>
      <c r="I19">
        <f>(IF(B19=1,0,IF(B19=2,Hypothèses!$B$28,IF(B19=3,Hypothèses!$C$28,Hypothèses!$D$28)))+(IF(B19=1,Hypothèses!$B$28,IF(B19=2,Hypothèses!$C$28,IF(B19=3,Hypothèses!$D$28,Hypothèses!$D$28)))-(IF(B19=1,0,IF(B19=2,Hypothèses!$B$28,IF(B19=3,Hypothèses!$C$28,Hypothèses!$D$28)))))*((A19)-INT((A19-1)/12)*12)/12)*$B$1</f>
        <v>0.23333333333333331</v>
      </c>
      <c r="J19">
        <f>(IF(B19=1,0,IF(B19=2,Hypothèses!$B$29,IF(B19=3,Hypothèses!$C$29,Hypothèses!$D$29)))+(IF(B19=1,Hypothèses!$B$29,IF(B19=2,Hypothèses!$C$29,IF(B19=3,Hypothèses!$D$29,Hypothèses!$D$29)))-(IF(B19=1,0,IF(B19=2,Hypothèses!$B$29,IF(B19=3,Hypothèses!$C$29,Hypothèses!$D$29)))))*((A19)-INT((A19-1)/12)*12)/12)*$B$1</f>
        <v>0.23333333333333331</v>
      </c>
      <c r="K19">
        <f>IF(A19&lt;Hypothèses!$B$7,0,Hypothèses!$B$8*(1-Hypothèses!$B$9)^(A19-Hypothèses!$B$7))</f>
        <v>2.3914845000000007E-2</v>
      </c>
      <c r="L19">
        <f t="shared" si="1"/>
        <v>15.2</v>
      </c>
      <c r="M19">
        <f>(C19*Hypothèses!$B$11+D19*Hypothèses!$B$12+E19*Hypothèses!$B$13+F19*Hypothèses!$B$14)*(IF(B19=1,Hypothèses!$B$20,IF(B19=2,Hypothèses!$B$21,Hypothèses!$B$22))+(1-(IF(B19=1,Hypothèses!$B$20,IF(B19=2,Hypothèses!$B$21,Hypothèses!$B$22))))*11/12)</f>
        <v>2157.208333333333</v>
      </c>
      <c r="N19">
        <f>L19*IF(B19=1,Hypothèses!$C$20,IF(B19=2,Hypothèses!$C$21,Hypothèses!$C$22))*IF(B19=1,Hypothèses!$D$20,IF(B19=2,Hypothèses!$D$21,Hypothèses!$D$22))</f>
        <v>38</v>
      </c>
      <c r="O19">
        <f>IF(A19=18,IF($B$2&gt;=1,Hypothèses!$B$33,0),IF(AND(OR(A19=30,A19=34),$D$2&gt;=1),Hypothèses!$B$34*MIN(1,$D$2/3),0))</f>
        <v>0</v>
      </c>
      <c r="P19">
        <f t="shared" si="2"/>
        <v>2195.208333333333</v>
      </c>
      <c r="Q19">
        <f>P19/(1+Hypothèses!$B$6)</f>
        <v>1829.3402777777776</v>
      </c>
      <c r="R19">
        <f>Hypothèses!$B$3*(1+Hypothèses!$B$4)^INT((A19-1)/3)</f>
        <v>1005.6785937499997</v>
      </c>
      <c r="S19">
        <f>0</f>
        <v>0</v>
      </c>
      <c r="T19">
        <f>S19*Hypothèses!$B$17</f>
        <v>0</v>
      </c>
      <c r="U19">
        <f>Q19*Hypothèses!$B$5</f>
        <v>18.293402777777775</v>
      </c>
      <c r="V19">
        <f t="shared" si="3"/>
        <v>805.36828125000011</v>
      </c>
      <c r="W19">
        <f t="shared" si="4"/>
        <v>2468.4310937500022</v>
      </c>
    </row>
    <row r="20" spans="1:23" x14ac:dyDescent="0.25">
      <c r="A20">
        <v>17</v>
      </c>
      <c r="B20">
        <f t="shared" si="0"/>
        <v>2</v>
      </c>
      <c r="C20">
        <f>ROUND(IF(MOD($A20,12)=0,G20,(IF(20=4,0,C19))*(1-$K20)+IF((IF(20=4,0,C19))*(1-$K20)&lt;G20,(G20-(IF(20=4,0,C19))*(1-$K20))*Hypothèses!$B$10,0)),1)</f>
        <v>4.4000000000000004</v>
      </c>
      <c r="D20">
        <f>ROUND(IF(MOD($A20,12)=0,H20,(IF(20=4,0,D19))*(1-$K20)+IF((IF(20=4,0,D19))*(1-$K20)&lt;H20,(H20-(IF(20=4,0,D19))*(1-$K20))*Hypothèses!$B$10,0)),1)</f>
        <v>11.9</v>
      </c>
      <c r="E20">
        <f>ROUND(IF(MOD($A20,12)=0,I20,(IF(20=4,0,E19))*(1-$K20)+IF((IF(20=4,0,E19))*(1-$K20)&lt;I20,(I20-(IF(20=4,0,E19))*(1-$K20))*Hypothèses!$B$10,0)),1)</f>
        <v>0.2</v>
      </c>
      <c r="F20">
        <f>ROUND(IF(MOD($A20,12)=0,J20,(IF(20=4,0,F19))*(1-$K20)+IF((IF(20=4,0,F19))*(1-$K20)&lt;J20,(J20-(IF(20=4,0,F19))*(1-$K20))*Hypothèses!$B$10,0)),1)</f>
        <v>0.2</v>
      </c>
      <c r="G20">
        <f>(IF(B20=1,0,IF(B20=2,Hypothèses!$B$26,IF(B20=3,Hypothèses!$C$26,Hypothèses!$D$26)))+(IF(B20=1,Hypothèses!$B$26,IF(B20=2,Hypothèses!$C$26,IF(B20=3,Hypothèses!$D$26,Hypothèses!$D$26)))-(IF(B20=1,0,IF(B20=2,Hypothèses!$B$26,IF(B20=3,Hypothèses!$C$26,Hypothèses!$D$26)))))*((A20)-INT((A20-1)/12)*12)/12)*$B$1</f>
        <v>4.958333333333333</v>
      </c>
      <c r="H20">
        <f>(IF(B20=1,0,IF(B20=2,Hypothèses!$B$27,IF(B20=3,Hypothèses!$C$27,Hypothèses!$D$27)))+(IF(B20=1,Hypothèses!$B$27,IF(B20=2,Hypothèses!$C$27,IF(B20=3,Hypothèses!$D$27,Hypothèses!$D$27)))-(IF(B20=1,0,IF(B20=2,Hypothèses!$B$27,IF(B20=3,Hypothèses!$C$27,Hypothèses!$D$27)))))*((A20)-INT((A20-1)/12)*12)/12)*$B$1</f>
        <v>14.291666666666664</v>
      </c>
      <c r="I20">
        <f>(IF(B20=1,0,IF(B20=2,Hypothèses!$B$28,IF(B20=3,Hypothèses!$C$28,Hypothèses!$D$28)))+(IF(B20=1,Hypothèses!$B$28,IF(B20=2,Hypothèses!$C$28,IF(B20=3,Hypothèses!$D$28,Hypothèses!$D$28)))-(IF(B20=1,0,IF(B20=2,Hypothèses!$B$28,IF(B20=3,Hypothèses!$C$28,Hypothèses!$D$28)))))*((A20)-INT((A20-1)/12)*12)/12)*$B$1</f>
        <v>0.29166666666666669</v>
      </c>
      <c r="J20">
        <f>(IF(B20=1,0,IF(B20=2,Hypothèses!$B$29,IF(B20=3,Hypothèses!$C$29,Hypothèses!$D$29)))+(IF(B20=1,Hypothèses!$B$29,IF(B20=2,Hypothèses!$C$29,IF(B20=3,Hypothèses!$D$29,Hypothèses!$D$29)))-(IF(B20=1,0,IF(B20=2,Hypothèses!$B$29,IF(B20=3,Hypothèses!$C$29,Hypothèses!$D$29)))))*((A20)-INT((A20-1)/12)*12)/12)*$B$1</f>
        <v>0.29166666666666669</v>
      </c>
      <c r="K20">
        <f>IF(A20&lt;Hypothèses!$B$7,0,Hypothèses!$B$8*(1-Hypothèses!$B$9)^(A20-Hypothèses!$B$7))</f>
        <v>2.1523360500000008E-2</v>
      </c>
      <c r="L20">
        <f t="shared" si="1"/>
        <v>16.7</v>
      </c>
      <c r="M20">
        <f>(C20*Hypothèses!$B$11+D20*Hypothèses!$B$12+E20*Hypothèses!$B$13+F20*Hypothèses!$B$14)*(IF(B20=1,Hypothèses!$B$20,IF(B20=2,Hypothèses!$B$21,Hypothèses!$B$22))+(1-(IF(B20=1,Hypothèses!$B$20,IF(B20=2,Hypothèses!$B$21,Hypothèses!$B$22))))*11/12)</f>
        <v>2359.8958333333335</v>
      </c>
      <c r="N20">
        <f>L20*IF(B20=1,Hypothèses!$C$20,IF(B20=2,Hypothèses!$C$21,Hypothèses!$C$22))*IF(B20=1,Hypothèses!$D$20,IF(B20=2,Hypothèses!$D$21,Hypothèses!$D$22))</f>
        <v>41.75</v>
      </c>
      <c r="O20">
        <f>IF(A20=18,IF($B$2&gt;=1,Hypothèses!$B$33,0),IF(AND(OR(A20=30,A20=34),$D$2&gt;=1),Hypothèses!$B$34*MIN(1,$D$2/3),0))</f>
        <v>0</v>
      </c>
      <c r="P20">
        <f t="shared" si="2"/>
        <v>2401.6458333333335</v>
      </c>
      <c r="Q20">
        <f>P20/(1+Hypothèses!$B$6)</f>
        <v>2001.3715277777781</v>
      </c>
      <c r="R20">
        <f>Hypothèses!$B$3*(1+Hypothèses!$B$4)^INT((A20-1)/3)</f>
        <v>1005.6785937499997</v>
      </c>
      <c r="S20">
        <f>0</f>
        <v>0</v>
      </c>
      <c r="T20">
        <f>S20*Hypothèses!$B$17</f>
        <v>0</v>
      </c>
      <c r="U20">
        <f>Q20*Hypothèses!$B$5</f>
        <v>20.013715277777781</v>
      </c>
      <c r="V20">
        <f t="shared" si="3"/>
        <v>975.67921875000059</v>
      </c>
      <c r="W20">
        <f t="shared" si="4"/>
        <v>3444.1103125000027</v>
      </c>
    </row>
    <row r="21" spans="1:23" x14ac:dyDescent="0.25">
      <c r="A21">
        <v>18</v>
      </c>
      <c r="B21">
        <f t="shared" si="0"/>
        <v>2</v>
      </c>
      <c r="C21">
        <f>ROUND(IF(MOD($A21,12)=0,G21,(IF(21=4,0,C20))*(1-$K21)+IF((IF(21=4,0,C20))*(1-$K21)&lt;G21,(G21-(IF(21=4,0,C20))*(1-$K21))*Hypothèses!$B$10,0)),1)</f>
        <v>4.7</v>
      </c>
      <c r="D21">
        <f>ROUND(IF(MOD($A21,12)=0,H21,(IF(21=4,0,D20))*(1-$K21)+IF((IF(21=4,0,D20))*(1-$K21)&lt;H21,(H21-(IF(21=4,0,D20))*(1-$K21))*Hypothèses!$B$10,0)),1)</f>
        <v>13.3</v>
      </c>
      <c r="E21">
        <f>ROUND(IF(MOD($A21,12)=0,I21,(IF(21=4,0,E20))*(1-$K21)+IF((IF(21=4,0,E20))*(1-$K21)&lt;I21,(I21-(IF(21=4,0,E20))*(1-$K21))*Hypothèses!$B$10,0)),1)</f>
        <v>0.3</v>
      </c>
      <c r="F21">
        <f>ROUND(IF(MOD($A21,12)=0,J21,(IF(21=4,0,F20))*(1-$K21)+IF((IF(21=4,0,F20))*(1-$K21)&lt;J21,(J21-(IF(21=4,0,F20))*(1-$K21))*Hypothèses!$B$10,0)),1)</f>
        <v>0.3</v>
      </c>
      <c r="G21">
        <f>(IF(B21=1,0,IF(B21=2,Hypothèses!$B$26,IF(B21=3,Hypothèses!$C$26,Hypothèses!$D$26)))+(IF(B21=1,Hypothèses!$B$26,IF(B21=2,Hypothèses!$C$26,IF(B21=3,Hypothèses!$D$26,Hypothèses!$D$26)))-(IF(B21=1,0,IF(B21=2,Hypothèses!$B$26,IF(B21=3,Hypothèses!$C$26,Hypothèses!$D$26)))))*((A21)-INT((A21-1)/12)*12)/12)*$B$1</f>
        <v>5.25</v>
      </c>
      <c r="H21">
        <f>(IF(B21=1,0,IF(B21=2,Hypothèses!$B$27,IF(B21=3,Hypothèses!$C$27,Hypothèses!$D$27)))+(IF(B21=1,Hypothèses!$B$27,IF(B21=2,Hypothèses!$C$27,IF(B21=3,Hypothèses!$D$27,Hypothèses!$D$27)))-(IF(B21=1,0,IF(B21=2,Hypothèses!$B$27,IF(B21=3,Hypothèses!$C$27,Hypothèses!$D$27)))))*((A21)-INT((A21-1)/12)*12)/12)*$B$1</f>
        <v>15.749999999999998</v>
      </c>
      <c r="I21">
        <f>(IF(B21=1,0,IF(B21=2,Hypothèses!$B$28,IF(B21=3,Hypothèses!$C$28,Hypothèses!$D$28)))+(IF(B21=1,Hypothèses!$B$28,IF(B21=2,Hypothèses!$C$28,IF(B21=3,Hypothèses!$D$28,Hypothèses!$D$28)))-(IF(B21=1,0,IF(B21=2,Hypothèses!$B$28,IF(B21=3,Hypothèses!$C$28,Hypothèses!$D$28)))))*((A21)-INT((A21-1)/12)*12)/12)*$B$1</f>
        <v>0.35</v>
      </c>
      <c r="J21">
        <f>(IF(B21=1,0,IF(B21=2,Hypothèses!$B$29,IF(B21=3,Hypothèses!$C$29,Hypothèses!$D$29)))+(IF(B21=1,Hypothèses!$B$29,IF(B21=2,Hypothèses!$C$29,IF(B21=3,Hypothèses!$D$29,Hypothèses!$D$29)))-(IF(B21=1,0,IF(B21=2,Hypothèses!$B$29,IF(B21=3,Hypothèses!$C$29,Hypothèses!$D$29)))))*((A21)-INT((A21-1)/12)*12)/12)*$B$1</f>
        <v>0.35</v>
      </c>
      <c r="K21">
        <f>IF(A21&lt;Hypothèses!$B$7,0,Hypothèses!$B$8*(1-Hypothèses!$B$9)^(A21-Hypothèses!$B$7))</f>
        <v>1.937102445000001E-2</v>
      </c>
      <c r="L21">
        <f t="shared" si="1"/>
        <v>18.600000000000001</v>
      </c>
      <c r="M21">
        <f>(C21*Hypothèses!$B$11+D21*Hypothèses!$B$12+E21*Hypothèses!$B$13+F21*Hypothèses!$B$14)*(IF(B21=1,Hypothèses!$B$20,IF(B21=2,Hypothèses!$B$21,Hypothèses!$B$22))+(1-(IF(B21=1,Hypothèses!$B$20,IF(B21=2,Hypothèses!$B$21,Hypothèses!$B$22))))*11/12)</f>
        <v>2728.0874999999996</v>
      </c>
      <c r="N21">
        <f>L21*IF(B21=1,Hypothèses!$C$20,IF(B21=2,Hypothèses!$C$21,Hypothèses!$C$22))*IF(B21=1,Hypothèses!$D$20,IF(B21=2,Hypothèses!$D$21,Hypothèses!$D$22))</f>
        <v>46.500000000000007</v>
      </c>
      <c r="O21">
        <f>IF(A21=18,IF($B$2&gt;=1,Hypothèses!$B$33,0),IF(AND(OR(A21=30,A21=34),$D$2&gt;=1),Hypothèses!$B$34*MIN(1,$D$2/3),0))</f>
        <v>15000</v>
      </c>
      <c r="P21">
        <f t="shared" si="2"/>
        <v>17774.587500000001</v>
      </c>
      <c r="Q21">
        <f>P21/(1+Hypothèses!$B$6)</f>
        <v>14812.156250000002</v>
      </c>
      <c r="R21">
        <f>Hypothèses!$B$3*(1+Hypothèses!$B$4)^INT((A21-1)/3)</f>
        <v>1005.6785937499997</v>
      </c>
      <c r="S21">
        <f>0</f>
        <v>0</v>
      </c>
      <c r="T21">
        <f>S21*Hypothèses!$B$17</f>
        <v>0</v>
      </c>
      <c r="U21">
        <f>Q21*Hypothèses!$B$5</f>
        <v>148.12156250000001</v>
      </c>
      <c r="V21">
        <f t="shared" si="3"/>
        <v>13658.356093750002</v>
      </c>
      <c r="W21">
        <f t="shared" si="4"/>
        <v>17102.466406250005</v>
      </c>
    </row>
    <row r="22" spans="1:23" x14ac:dyDescent="0.25">
      <c r="A22">
        <v>19</v>
      </c>
      <c r="B22">
        <f t="shared" si="0"/>
        <v>2</v>
      </c>
      <c r="C22">
        <f>ROUND(IF(MOD($A22,12)=0,G22,(IF(22=4,0,C21))*(1-$K22)+IF((IF(22=4,0,C21))*(1-$K22)&lt;G22,(G22-(IF(22=4,0,C21))*(1-$K22))*Hypothèses!$B$10,0)),1)</f>
        <v>5</v>
      </c>
      <c r="D22">
        <f>ROUND(IF(MOD($A22,12)=0,H22,(IF(22=4,0,D21))*(1-$K22)+IF((IF(22=4,0,D21))*(1-$K22)&lt;H22,(H22-(IF(22=4,0,D21))*(1-$K22))*Hypothèses!$B$10,0)),1)</f>
        <v>14.7</v>
      </c>
      <c r="E22">
        <f>ROUND(IF(MOD($A22,12)=0,I22,(IF(22=4,0,E21))*(1-$K22)+IF((IF(22=4,0,E21))*(1-$K22)&lt;I22,(I22-(IF(22=4,0,E21))*(1-$K22))*Hypothèses!$B$10,0)),1)</f>
        <v>0.3</v>
      </c>
      <c r="F22">
        <f>ROUND(IF(MOD($A22,12)=0,J22,(IF(22=4,0,F21))*(1-$K22)+IF((IF(22=4,0,F21))*(1-$K22)&lt;J22,(J22-(IF(22=4,0,F21))*(1-$K22))*Hypothèses!$B$10,0)),1)</f>
        <v>0.3</v>
      </c>
      <c r="G22">
        <f>(IF(B22=1,0,IF(B22=2,Hypothèses!$B$26,IF(B22=3,Hypothèses!$C$26,Hypothèses!$D$26)))+(IF(B22=1,Hypothèses!$B$26,IF(B22=2,Hypothèses!$C$26,IF(B22=3,Hypothèses!$D$26,Hypothèses!$D$26)))-(IF(B22=1,0,IF(B22=2,Hypothèses!$B$26,IF(B22=3,Hypothèses!$C$26,Hypothèses!$D$26)))))*((A22)-INT((A22-1)/12)*12)/12)*$B$1</f>
        <v>5.5416666666666661</v>
      </c>
      <c r="H22">
        <f>(IF(B22=1,0,IF(B22=2,Hypothèses!$B$27,IF(B22=3,Hypothèses!$C$27,Hypothèses!$D$27)))+(IF(B22=1,Hypothèses!$B$27,IF(B22=2,Hypothèses!$C$27,IF(B22=3,Hypothèses!$D$27,Hypothèses!$D$27)))-(IF(B22=1,0,IF(B22=2,Hypothèses!$B$27,IF(B22=3,Hypothèses!$C$27,Hypothèses!$D$27)))))*((A22)-INT((A22-1)/12)*12)/12)*$B$1</f>
        <v>17.208333333333332</v>
      </c>
      <c r="I22">
        <f>(IF(B22=1,0,IF(B22=2,Hypothèses!$B$28,IF(B22=3,Hypothèses!$C$28,Hypothèses!$D$28)))+(IF(B22=1,Hypothèses!$B$28,IF(B22=2,Hypothèses!$C$28,IF(B22=3,Hypothèses!$D$28,Hypothèses!$D$28)))-(IF(B22=1,0,IF(B22=2,Hypothèses!$B$28,IF(B22=3,Hypothèses!$C$28,Hypothèses!$D$28)))))*((A22)-INT((A22-1)/12)*12)/12)*$B$1</f>
        <v>0.40833333333333333</v>
      </c>
      <c r="J22">
        <f>(IF(B22=1,0,IF(B22=2,Hypothèses!$B$29,IF(B22=3,Hypothèses!$C$29,Hypothèses!$D$29)))+(IF(B22=1,Hypothèses!$B$29,IF(B22=2,Hypothèses!$C$29,IF(B22=3,Hypothèses!$D$29,Hypothèses!$D$29)))-(IF(B22=1,0,IF(B22=2,Hypothèses!$B$29,IF(B22=3,Hypothèses!$C$29,Hypothèses!$D$29)))))*((A22)-INT((A22-1)/12)*12)/12)*$B$1</f>
        <v>0.40833333333333333</v>
      </c>
      <c r="K22">
        <f>IF(A22&lt;Hypothèses!$B$7,0,Hypothèses!$B$8*(1-Hypothèses!$B$9)^(A22-Hypothèses!$B$7))</f>
        <v>1.7433922005000008E-2</v>
      </c>
      <c r="L22">
        <f t="shared" si="1"/>
        <v>20.3</v>
      </c>
      <c r="M22">
        <f>(C22*Hypothèses!$B$11+D22*Hypothèses!$B$12+E22*Hypothèses!$B$13+F22*Hypothèses!$B$14)*(IF(B22=1,Hypothèses!$B$20,IF(B22=2,Hypothèses!$B$21,Hypothèses!$B$22))+(1-(IF(B22=1,Hypothèses!$B$20,IF(B22=2,Hypothèses!$B$21,Hypothèses!$B$22))))*11/12)</f>
        <v>2953.5833333333326</v>
      </c>
      <c r="N22">
        <f>L22*IF(B22=1,Hypothèses!$C$20,IF(B22=2,Hypothèses!$C$21,Hypothèses!$C$22))*IF(B22=1,Hypothèses!$D$20,IF(B22=2,Hypothèses!$D$21,Hypothèses!$D$22))</f>
        <v>50.750000000000007</v>
      </c>
      <c r="O22">
        <f>IF(A22=18,IF($B$2&gt;=1,Hypothèses!$B$33,0),IF(AND(OR(A22=30,A22=34),$D$2&gt;=1),Hypothèses!$B$34*MIN(1,$D$2/3),0))</f>
        <v>0</v>
      </c>
      <c r="P22">
        <f t="shared" si="2"/>
        <v>3004.3333333333326</v>
      </c>
      <c r="Q22">
        <f>P22/(1+Hypothèses!$B$6)</f>
        <v>2503.6111111111104</v>
      </c>
      <c r="R22">
        <f>Hypothèses!$B$3*(1+Hypothèses!$B$4)^INT((A22-1)/3)</f>
        <v>1156.5303828124995</v>
      </c>
      <c r="S22">
        <f>0</f>
        <v>0</v>
      </c>
      <c r="T22">
        <f>S22*Hypothèses!$B$17</f>
        <v>0</v>
      </c>
      <c r="U22">
        <f>Q22*Hypothèses!$B$5</f>
        <v>25.036111111111104</v>
      </c>
      <c r="V22">
        <f t="shared" si="3"/>
        <v>1322.0446171874999</v>
      </c>
      <c r="W22">
        <f t="shared" si="4"/>
        <v>18424.511023437506</v>
      </c>
    </row>
    <row r="23" spans="1:23" x14ac:dyDescent="0.25">
      <c r="A23">
        <v>20</v>
      </c>
      <c r="B23">
        <f t="shared" si="0"/>
        <v>2</v>
      </c>
      <c r="C23">
        <f>ROUND(IF(MOD($A23,12)=0,G23,(IF(23=4,0,C22))*(1-$K23)+IF((IF(23=4,0,C22))*(1-$K23)&lt;G23,(G23-(IF(23=4,0,C22))*(1-$K23))*Hypothèses!$B$10,0)),1)</f>
        <v>5.3</v>
      </c>
      <c r="D23">
        <f>ROUND(IF(MOD($A23,12)=0,H23,(IF(23=4,0,D22))*(1-$K23)+IF((IF(23=4,0,D22))*(1-$K23)&lt;H23,(H23-(IF(23=4,0,D22))*(1-$K23))*Hypothèses!$B$10,0)),1)</f>
        <v>16.100000000000001</v>
      </c>
      <c r="E23">
        <f>ROUND(IF(MOD($A23,12)=0,I23,(IF(23=4,0,E22))*(1-$K23)+IF((IF(23=4,0,E22))*(1-$K23)&lt;I23,(I23-(IF(23=4,0,E22))*(1-$K23))*Hypothèses!$B$10,0)),1)</f>
        <v>0.4</v>
      </c>
      <c r="F23">
        <f>ROUND(IF(MOD($A23,12)=0,J23,(IF(23=4,0,F22))*(1-$K23)+IF((IF(23=4,0,F22))*(1-$K23)&lt;J23,(J23-(IF(23=4,0,F22))*(1-$K23))*Hypothèses!$B$10,0)),1)</f>
        <v>0.4</v>
      </c>
      <c r="G23">
        <f>(IF(B23=1,0,IF(B23=2,Hypothèses!$B$26,IF(B23=3,Hypothèses!$C$26,Hypothèses!$D$26)))+(IF(B23=1,Hypothèses!$B$26,IF(B23=2,Hypothèses!$C$26,IF(B23=3,Hypothèses!$D$26,Hypothèses!$D$26)))-(IF(B23=1,0,IF(B23=2,Hypothèses!$B$26,IF(B23=3,Hypothèses!$C$26,Hypothèses!$D$26)))))*((A23)-INT((A23-1)/12)*12)/12)*$B$1</f>
        <v>5.833333333333333</v>
      </c>
      <c r="H23">
        <f>(IF(B23=1,0,IF(B23=2,Hypothèses!$B$27,IF(B23=3,Hypothèses!$C$27,Hypothèses!$D$27)))+(IF(B23=1,Hypothèses!$B$27,IF(B23=2,Hypothèses!$C$27,IF(B23=3,Hypothèses!$D$27,Hypothèses!$D$27)))-(IF(B23=1,0,IF(B23=2,Hypothèses!$B$27,IF(B23=3,Hypothèses!$C$27,Hypothèses!$D$27)))))*((A23)-INT((A23-1)/12)*12)/12)*$B$1</f>
        <v>18.666666666666668</v>
      </c>
      <c r="I23">
        <f>(IF(B23=1,0,IF(B23=2,Hypothèses!$B$28,IF(B23=3,Hypothèses!$C$28,Hypothèses!$D$28)))+(IF(B23=1,Hypothèses!$B$28,IF(B23=2,Hypothèses!$C$28,IF(B23=3,Hypothèses!$D$28,Hypothèses!$D$28)))-(IF(B23=1,0,IF(B23=2,Hypothèses!$B$28,IF(B23=3,Hypothèses!$C$28,Hypothèses!$D$28)))))*((A23)-INT((A23-1)/12)*12)/12)*$B$1</f>
        <v>0.46666666666666662</v>
      </c>
      <c r="J23">
        <f>(IF(B23=1,0,IF(B23=2,Hypothèses!$B$29,IF(B23=3,Hypothèses!$C$29,Hypothèses!$D$29)))+(IF(B23=1,Hypothèses!$B$29,IF(B23=2,Hypothèses!$C$29,IF(B23=3,Hypothèses!$D$29,Hypothèses!$D$29)))-(IF(B23=1,0,IF(B23=2,Hypothèses!$B$29,IF(B23=3,Hypothèses!$C$29,Hypothèses!$D$29)))))*((A23)-INT((A23-1)/12)*12)/12)*$B$1</f>
        <v>0.46666666666666662</v>
      </c>
      <c r="K23">
        <f>IF(A23&lt;Hypothèses!$B$7,0,Hypothèses!$B$8*(1-Hypothèses!$B$9)^(A23-Hypothèses!$B$7))</f>
        <v>1.569052980450001E-2</v>
      </c>
      <c r="L23">
        <f t="shared" si="1"/>
        <v>22.2</v>
      </c>
      <c r="M23">
        <f>(C23*Hypothèses!$B$11+D23*Hypothèses!$B$12+E23*Hypothèses!$B$13+F23*Hypothèses!$B$14)*(IF(B23=1,Hypothèses!$B$20,IF(B23=2,Hypothèses!$B$21,Hypothèses!$B$22))+(1-(IF(B23=1,Hypothèses!$B$20,IF(B23=2,Hypothèses!$B$21,Hypothèses!$B$22))))*11/12)</f>
        <v>3321.7749999999996</v>
      </c>
      <c r="N23">
        <f>L23*IF(B23=1,Hypothèses!$C$20,IF(B23=2,Hypothèses!$C$21,Hypothèses!$C$22))*IF(B23=1,Hypothèses!$D$20,IF(B23=2,Hypothèses!$D$21,Hypothèses!$D$22))</f>
        <v>55.500000000000007</v>
      </c>
      <c r="O23">
        <f>IF(A23=18,IF($B$2&gt;=1,Hypothèses!$B$33,0),IF(AND(OR(A23=30,A23=34),$D$2&gt;=1),Hypothèses!$B$34*MIN(1,$D$2/3),0))</f>
        <v>0</v>
      </c>
      <c r="P23">
        <f t="shared" si="2"/>
        <v>3377.2749999999996</v>
      </c>
      <c r="Q23">
        <f>P23/(1+Hypothèses!$B$6)</f>
        <v>2814.395833333333</v>
      </c>
      <c r="R23">
        <f>Hypothèses!$B$3*(1+Hypothèses!$B$4)^INT((A23-1)/3)</f>
        <v>1156.5303828124995</v>
      </c>
      <c r="S23">
        <f>0</f>
        <v>0</v>
      </c>
      <c r="T23">
        <f>S23*Hypothèses!$B$17</f>
        <v>0</v>
      </c>
      <c r="U23">
        <f>Q23*Hypothèses!$B$5</f>
        <v>28.14395833333333</v>
      </c>
      <c r="V23">
        <f t="shared" si="3"/>
        <v>1629.7214921875002</v>
      </c>
      <c r="W23">
        <f t="shared" si="4"/>
        <v>20054.232515625008</v>
      </c>
    </row>
    <row r="24" spans="1:23" x14ac:dyDescent="0.25">
      <c r="A24">
        <v>21</v>
      </c>
      <c r="B24">
        <f t="shared" si="0"/>
        <v>2</v>
      </c>
      <c r="C24">
        <f>ROUND(IF(MOD($A24,12)=0,G24,(IF(24=4,0,C23))*(1-$K24)+IF((IF(24=4,0,C23))*(1-$K24)&lt;G24,(G24-(IF(24=4,0,C23))*(1-$K24))*Hypothèses!$B$10,0)),1)</f>
        <v>5.6</v>
      </c>
      <c r="D24">
        <f>ROUND(IF(MOD($A24,12)=0,H24,(IF(24=4,0,D23))*(1-$K24)+IF((IF(24=4,0,D23))*(1-$K24)&lt;H24,(H24-(IF(24=4,0,D23))*(1-$K24))*Hypothèses!$B$10,0)),1)</f>
        <v>17.600000000000001</v>
      </c>
      <c r="E24">
        <f>ROUND(IF(MOD($A24,12)=0,I24,(IF(24=4,0,E23))*(1-$K24)+IF((IF(24=4,0,E23))*(1-$K24)&lt;I24,(I24-(IF(24=4,0,E23))*(1-$K24))*Hypothèses!$B$10,0)),1)</f>
        <v>0.4</v>
      </c>
      <c r="F24">
        <f>ROUND(IF(MOD($A24,12)=0,J24,(IF(24=4,0,F23))*(1-$K24)+IF((IF(24=4,0,F23))*(1-$K24)&lt;J24,(J24-(IF(24=4,0,F23))*(1-$K24))*Hypothèses!$B$10,0)),1)</f>
        <v>0.4</v>
      </c>
      <c r="G24">
        <f>(IF(B24=1,0,IF(B24=2,Hypothèses!$B$26,IF(B24=3,Hypothèses!$C$26,Hypothèses!$D$26)))+(IF(B24=1,Hypothèses!$B$26,IF(B24=2,Hypothèses!$C$26,IF(B24=3,Hypothèses!$D$26,Hypothèses!$D$26)))-(IF(B24=1,0,IF(B24=2,Hypothèses!$B$26,IF(B24=3,Hypothèses!$C$26,Hypothèses!$D$26)))))*((A24)-INT((A24-1)/12)*12)/12)*$B$1</f>
        <v>6.125</v>
      </c>
      <c r="H24">
        <f>(IF(B24=1,0,IF(B24=2,Hypothèses!$B$27,IF(B24=3,Hypothèses!$C$27,Hypothèses!$D$27)))+(IF(B24=1,Hypothèses!$B$27,IF(B24=2,Hypothèses!$C$27,IF(B24=3,Hypothèses!$D$27,Hypothèses!$D$27)))-(IF(B24=1,0,IF(B24=2,Hypothèses!$B$27,IF(B24=3,Hypothèses!$C$27,Hypothèses!$D$27)))))*((A24)-INT((A24-1)/12)*12)/12)*$B$1</f>
        <v>20.125</v>
      </c>
      <c r="I24">
        <f>(IF(B24=1,0,IF(B24=2,Hypothèses!$B$28,IF(B24=3,Hypothèses!$C$28,Hypothèses!$D$28)))+(IF(B24=1,Hypothèses!$B$28,IF(B24=2,Hypothèses!$C$28,IF(B24=3,Hypothèses!$D$28,Hypothèses!$D$28)))-(IF(B24=1,0,IF(B24=2,Hypothèses!$B$28,IF(B24=3,Hypothèses!$C$28,Hypothèses!$D$28)))))*((A24)-INT((A24-1)/12)*12)/12)*$B$1</f>
        <v>0.52499999999999991</v>
      </c>
      <c r="J24">
        <f>(IF(B24=1,0,IF(B24=2,Hypothèses!$B$29,IF(B24=3,Hypothèses!$C$29,Hypothèses!$D$29)))+(IF(B24=1,Hypothèses!$B$29,IF(B24=2,Hypothèses!$C$29,IF(B24=3,Hypothèses!$D$29,Hypothèses!$D$29)))-(IF(B24=1,0,IF(B24=2,Hypothèses!$B$29,IF(B24=3,Hypothèses!$C$29,Hypothèses!$D$29)))))*((A24)-INT((A24-1)/12)*12)/12)*$B$1</f>
        <v>0.52499999999999991</v>
      </c>
      <c r="K24">
        <f>IF(A24&lt;Hypothèses!$B$7,0,Hypothèses!$B$8*(1-Hypothèses!$B$9)^(A24-Hypothèses!$B$7))</f>
        <v>1.412147682405001E-2</v>
      </c>
      <c r="L24">
        <f t="shared" si="1"/>
        <v>24</v>
      </c>
      <c r="M24">
        <f>(C24*Hypothèses!$B$11+D24*Hypothèses!$B$12+E24*Hypothèses!$B$13+F24*Hypothèses!$B$14)*(IF(B24=1,Hypothèses!$B$20,IF(B24=2,Hypothèses!$B$21,Hypothèses!$B$22))+(1-(IF(B24=1,Hypothèses!$B$20,IF(B24=2,Hypothèses!$B$21,Hypothèses!$B$22))))*11/12)</f>
        <v>3561.5499999999997</v>
      </c>
      <c r="N24">
        <f>L24*IF(B24=1,Hypothèses!$C$20,IF(B24=2,Hypothèses!$C$21,Hypothèses!$C$22))*IF(B24=1,Hypothèses!$D$20,IF(B24=2,Hypothèses!$D$21,Hypothèses!$D$22))</f>
        <v>60.000000000000007</v>
      </c>
      <c r="O24">
        <f>IF(A24=18,IF($B$2&gt;=1,Hypothèses!$B$33,0),IF(AND(OR(A24=30,A24=34),$D$2&gt;=1),Hypothèses!$B$34*MIN(1,$D$2/3),0))</f>
        <v>0</v>
      </c>
      <c r="P24">
        <f t="shared" si="2"/>
        <v>3621.5499999999997</v>
      </c>
      <c r="Q24">
        <f>P24/(1+Hypothèses!$B$6)</f>
        <v>3017.958333333333</v>
      </c>
      <c r="R24">
        <f>Hypothèses!$B$3*(1+Hypothèses!$B$4)^INT((A24-1)/3)</f>
        <v>1156.5303828124995</v>
      </c>
      <c r="S24">
        <f>0</f>
        <v>0</v>
      </c>
      <c r="T24">
        <f>S24*Hypothèses!$B$17</f>
        <v>0</v>
      </c>
      <c r="U24">
        <f>Q24*Hypothèses!$B$5</f>
        <v>30.17958333333333</v>
      </c>
      <c r="V24">
        <f t="shared" si="3"/>
        <v>1831.2483671875002</v>
      </c>
      <c r="W24">
        <f t="shared" si="4"/>
        <v>21885.48088281251</v>
      </c>
    </row>
    <row r="25" spans="1:23" x14ac:dyDescent="0.25">
      <c r="A25">
        <v>22</v>
      </c>
      <c r="B25">
        <f t="shared" si="0"/>
        <v>2</v>
      </c>
      <c r="C25">
        <f>ROUND(IF(MOD($A25,12)=0,G25,(IF(25=4,0,C24))*(1-$K25)+IF((IF(25=4,0,C24))*(1-$K25)&lt;G25,(G25-(IF(25=4,0,C24))*(1-$K25))*Hypothèses!$B$10,0)),1)</f>
        <v>5.9</v>
      </c>
      <c r="D25">
        <f>ROUND(IF(MOD($A25,12)=0,H25,(IF(25=4,0,D24))*(1-$K25)+IF((IF(25=4,0,D24))*(1-$K25)&lt;H25,(H25-(IF(25=4,0,D24))*(1-$K25))*Hypothèses!$B$10,0)),1)</f>
        <v>19.100000000000001</v>
      </c>
      <c r="E25">
        <f>ROUND(IF(MOD($A25,12)=0,I25,(IF(25=4,0,E24))*(1-$K25)+IF((IF(25=4,0,E24))*(1-$K25)&lt;I25,(I25-(IF(25=4,0,E24))*(1-$K25))*Hypothèses!$B$10,0)),1)</f>
        <v>0.5</v>
      </c>
      <c r="F25">
        <f>ROUND(IF(MOD($A25,12)=0,J25,(IF(25=4,0,F24))*(1-$K25)+IF((IF(25=4,0,F24))*(1-$K25)&lt;J25,(J25-(IF(25=4,0,F24))*(1-$K25))*Hypothèses!$B$10,0)),1)</f>
        <v>0.5</v>
      </c>
      <c r="G25">
        <f>(IF(B25=1,0,IF(B25=2,Hypothèses!$B$26,IF(B25=3,Hypothèses!$C$26,Hypothèses!$D$26)))+(IF(B25=1,Hypothèses!$B$26,IF(B25=2,Hypothèses!$C$26,IF(B25=3,Hypothèses!$D$26,Hypothèses!$D$26)))-(IF(B25=1,0,IF(B25=2,Hypothèses!$B$26,IF(B25=3,Hypothèses!$C$26,Hypothèses!$D$26)))))*((A25)-INT((A25-1)/12)*12)/12)*$B$1</f>
        <v>6.416666666666667</v>
      </c>
      <c r="H25">
        <f>(IF(B25=1,0,IF(B25=2,Hypothèses!$B$27,IF(B25=3,Hypothèses!$C$27,Hypothèses!$D$27)))+(IF(B25=1,Hypothèses!$B$27,IF(B25=2,Hypothèses!$C$27,IF(B25=3,Hypothèses!$D$27,Hypothèses!$D$27)))-(IF(B25=1,0,IF(B25=2,Hypothèses!$B$27,IF(B25=3,Hypothèses!$C$27,Hypothèses!$D$27)))))*((A25)-INT((A25-1)/12)*12)/12)*$B$1</f>
        <v>21.583333333333332</v>
      </c>
      <c r="I25">
        <f>(IF(B25=1,0,IF(B25=2,Hypothèses!$B$28,IF(B25=3,Hypothèses!$C$28,Hypothèses!$D$28)))+(IF(B25=1,Hypothèses!$B$28,IF(B25=2,Hypothèses!$C$28,IF(B25=3,Hypothèses!$D$28,Hypothèses!$D$28)))-(IF(B25=1,0,IF(B25=2,Hypothèses!$B$28,IF(B25=3,Hypothèses!$C$28,Hypothèses!$D$28)))))*((A25)-INT((A25-1)/12)*12)/12)*$B$1</f>
        <v>0.58333333333333337</v>
      </c>
      <c r="J25">
        <f>(IF(B25=1,0,IF(B25=2,Hypothèses!$B$29,IF(B25=3,Hypothèses!$C$29,Hypothèses!$D$29)))+(IF(B25=1,Hypothèses!$B$29,IF(B25=2,Hypothèses!$C$29,IF(B25=3,Hypothèses!$D$29,Hypothèses!$D$29)))-(IF(B25=1,0,IF(B25=2,Hypothèses!$B$29,IF(B25=3,Hypothèses!$C$29,Hypothèses!$D$29)))))*((A25)-INT((A25-1)/12)*12)/12)*$B$1</f>
        <v>0.58333333333333337</v>
      </c>
      <c r="K25">
        <f>IF(A25&lt;Hypothèses!$B$7,0,Hypothèses!$B$8*(1-Hypothèses!$B$9)^(A25-Hypothèses!$B$7))</f>
        <v>1.270932914164501E-2</v>
      </c>
      <c r="L25">
        <f t="shared" si="1"/>
        <v>26</v>
      </c>
      <c r="M25">
        <f>(C25*Hypothèses!$B$11+D25*Hypothèses!$B$12+E25*Hypothèses!$B$13+F25*Hypothèses!$B$14)*(IF(B25=1,Hypothèses!$B$20,IF(B25=2,Hypothèses!$B$21,Hypothèses!$B$22))+(1-(IF(B25=1,Hypothèses!$B$20,IF(B25=2,Hypothèses!$B$21,Hypothèses!$B$22))))*11/12)</f>
        <v>3944.020833333333</v>
      </c>
      <c r="N25">
        <f>L25*IF(B25=1,Hypothèses!$C$20,IF(B25=2,Hypothèses!$C$21,Hypothèses!$C$22))*IF(B25=1,Hypothèses!$D$20,IF(B25=2,Hypothèses!$D$21,Hypothèses!$D$22))</f>
        <v>65</v>
      </c>
      <c r="O25">
        <f>IF(A25=18,IF($B$2&gt;=1,Hypothèses!$B$33,0),IF(AND(OR(A25=30,A25=34),$D$2&gt;=1),Hypothèses!$B$34*MIN(1,$D$2/3),0))</f>
        <v>0</v>
      </c>
      <c r="P25">
        <f t="shared" si="2"/>
        <v>4009.020833333333</v>
      </c>
      <c r="Q25">
        <f>P25/(1+Hypothèses!$B$6)</f>
        <v>3340.8506944444443</v>
      </c>
      <c r="R25">
        <f>Hypothèses!$B$3*(1+Hypothèses!$B$4)^INT((A25-1)/3)</f>
        <v>1330.0099402343742</v>
      </c>
      <c r="S25">
        <f>0</f>
        <v>0</v>
      </c>
      <c r="T25">
        <f>S25*Hypothèses!$B$17</f>
        <v>0</v>
      </c>
      <c r="U25">
        <f>Q25*Hypothèses!$B$5</f>
        <v>33.408506944444447</v>
      </c>
      <c r="V25">
        <f t="shared" si="3"/>
        <v>1977.4322472656256</v>
      </c>
      <c r="W25">
        <f t="shared" si="4"/>
        <v>23862.913130078134</v>
      </c>
    </row>
    <row r="26" spans="1:23" x14ac:dyDescent="0.25">
      <c r="A26">
        <v>23</v>
      </c>
      <c r="B26">
        <f t="shared" si="0"/>
        <v>2</v>
      </c>
      <c r="C26">
        <f>ROUND(IF(MOD($A26,12)=0,G26,(IF(26=4,0,C25))*(1-$K26)+IF((IF(26=4,0,C25))*(1-$K26)&lt;G26,(G26-(IF(26=4,0,C25))*(1-$K26))*Hypothèses!$B$10,0)),1)</f>
        <v>6.2</v>
      </c>
      <c r="D26">
        <f>ROUND(IF(MOD($A26,12)=0,H26,(IF(26=4,0,D25))*(1-$K26)+IF((IF(26=4,0,D25))*(1-$K26)&lt;H26,(H26-(IF(26=4,0,D25))*(1-$K26))*Hypothèses!$B$10,0)),1)</f>
        <v>20.5</v>
      </c>
      <c r="E26">
        <f>ROUND(IF(MOD($A26,12)=0,I26,(IF(26=4,0,E25))*(1-$K26)+IF((IF(26=4,0,E25))*(1-$K26)&lt;I26,(I26-(IF(26=4,0,E25))*(1-$K26))*Hypothèses!$B$10,0)),1)</f>
        <v>0.6</v>
      </c>
      <c r="F26">
        <f>ROUND(IF(MOD($A26,12)=0,J26,(IF(26=4,0,F25))*(1-$K26)+IF((IF(26=4,0,F25))*(1-$K26)&lt;J26,(J26-(IF(26=4,0,F25))*(1-$K26))*Hypothèses!$B$10,0)),1)</f>
        <v>0.6</v>
      </c>
      <c r="G26">
        <f>(IF(B26=1,0,IF(B26=2,Hypothèses!$B$26,IF(B26=3,Hypothèses!$C$26,Hypothèses!$D$26)))+(IF(B26=1,Hypothèses!$B$26,IF(B26=2,Hypothèses!$C$26,IF(B26=3,Hypothèses!$D$26,Hypothèses!$D$26)))-(IF(B26=1,0,IF(B26=2,Hypothèses!$B$26,IF(B26=3,Hypothèses!$C$26,Hypothèses!$D$26)))))*((A26)-INT((A26-1)/12)*12)/12)*$B$1</f>
        <v>6.7083333333333321</v>
      </c>
      <c r="H26">
        <f>(IF(B26=1,0,IF(B26=2,Hypothèses!$B$27,IF(B26=3,Hypothèses!$C$27,Hypothèses!$D$27)))+(IF(B26=1,Hypothèses!$B$27,IF(B26=2,Hypothèses!$C$27,IF(B26=3,Hypothèses!$D$27,Hypothèses!$D$27)))-(IF(B26=1,0,IF(B26=2,Hypothèses!$B$27,IF(B26=3,Hypothèses!$C$27,Hypothèses!$D$27)))))*((A26)-INT((A26-1)/12)*12)/12)*$B$1</f>
        <v>23.041666666666668</v>
      </c>
      <c r="I26">
        <f>(IF(B26=1,0,IF(B26=2,Hypothèses!$B$28,IF(B26=3,Hypothèses!$C$28,Hypothèses!$D$28)))+(IF(B26=1,Hypothèses!$B$28,IF(B26=2,Hypothèses!$C$28,IF(B26=3,Hypothèses!$D$28,Hypothèses!$D$28)))-(IF(B26=1,0,IF(B26=2,Hypothèses!$B$28,IF(B26=3,Hypothèses!$C$28,Hypothèses!$D$28)))))*((A26)-INT((A26-1)/12)*12)/12)*$B$1</f>
        <v>0.64166666666666661</v>
      </c>
      <c r="J26">
        <f>(IF(B26=1,0,IF(B26=2,Hypothèses!$B$29,IF(B26=3,Hypothèses!$C$29,Hypothèses!$D$29)))+(IF(B26=1,Hypothèses!$B$29,IF(B26=2,Hypothèses!$C$29,IF(B26=3,Hypothèses!$D$29,Hypothèses!$D$29)))-(IF(B26=1,0,IF(B26=2,Hypothèses!$B$29,IF(B26=3,Hypothèses!$C$29,Hypothèses!$D$29)))))*((A26)-INT((A26-1)/12)*12)/12)*$B$1</f>
        <v>0.64166666666666661</v>
      </c>
      <c r="K26">
        <f>IF(A26&lt;Hypothèses!$B$7,0,Hypothèses!$B$8*(1-Hypothèses!$B$9)^(A26-Hypothèses!$B$7))</f>
        <v>1.1438396227480508E-2</v>
      </c>
      <c r="L26">
        <f t="shared" si="1"/>
        <v>27.900000000000002</v>
      </c>
      <c r="M26">
        <f>(C26*Hypothèses!$B$11+D26*Hypothèses!$B$12+E26*Hypothèses!$B$13+F26*Hypothèses!$B$14)*(IF(B26=1,Hypothèses!$B$20,IF(B26=2,Hypothèses!$B$21,Hypothèses!$B$22))+(1-(IF(B26=1,Hypothèses!$B$20,IF(B26=2,Hypothèses!$B$21,Hypothèses!$B$22))))*11/12)</f>
        <v>4312.2125000000005</v>
      </c>
      <c r="N26">
        <f>L26*IF(B26=1,Hypothèses!$C$20,IF(B26=2,Hypothèses!$C$21,Hypothèses!$C$22))*IF(B26=1,Hypothèses!$D$20,IF(B26=2,Hypothèses!$D$21,Hypothèses!$D$22))</f>
        <v>69.750000000000014</v>
      </c>
      <c r="O26">
        <f>IF(A26=18,IF($B$2&gt;=1,Hypothèses!$B$33,0),IF(AND(OR(A26=30,A26=34),$D$2&gt;=1),Hypothèses!$B$34*MIN(1,$D$2/3),0))</f>
        <v>0</v>
      </c>
      <c r="P26">
        <f t="shared" si="2"/>
        <v>4381.9625000000005</v>
      </c>
      <c r="Q26">
        <f>P26/(1+Hypothèses!$B$6)</f>
        <v>3651.6354166666674</v>
      </c>
      <c r="R26">
        <f>Hypothèses!$B$3*(1+Hypothèses!$B$4)^INT((A26-1)/3)</f>
        <v>1330.0099402343742</v>
      </c>
      <c r="S26">
        <f>0</f>
        <v>0</v>
      </c>
      <c r="T26">
        <f>S26*Hypothèses!$B$17</f>
        <v>0</v>
      </c>
      <c r="U26">
        <f>Q26*Hypothèses!$B$5</f>
        <v>36.516354166666673</v>
      </c>
      <c r="V26">
        <f t="shared" si="3"/>
        <v>2285.1091222656264</v>
      </c>
      <c r="W26">
        <f t="shared" si="4"/>
        <v>26148.022252343759</v>
      </c>
    </row>
    <row r="27" spans="1:23" x14ac:dyDescent="0.25">
      <c r="A27">
        <v>24</v>
      </c>
      <c r="B27">
        <f t="shared" si="0"/>
        <v>2</v>
      </c>
      <c r="C27">
        <f>ROUND(IF(MOD($A27,12)=0,G27,(IF(27=4,0,C26))*(1-$K27)+IF((IF(27=4,0,C26))*(1-$K27)&lt;G27,(G27-(IF(27=4,0,C26))*(1-$K27))*Hypothèses!$B$10,0)),1)</f>
        <v>7</v>
      </c>
      <c r="D27">
        <f>ROUND(IF(MOD($A27,12)=0,H27,(IF(27=4,0,D26))*(1-$K27)+IF((IF(27=4,0,D26))*(1-$K27)&lt;H27,(H27-(IF(27=4,0,D26))*(1-$K27))*Hypothèses!$B$10,0)),1)</f>
        <v>24.5</v>
      </c>
      <c r="E27">
        <f>ROUND(IF(MOD($A27,12)=0,I27,(IF(27=4,0,E26))*(1-$K27)+IF((IF(27=4,0,E26))*(1-$K27)&lt;I27,(I27-(IF(27=4,0,E26))*(1-$K27))*Hypothèses!$B$10,0)),1)</f>
        <v>0.7</v>
      </c>
      <c r="F27">
        <f>ROUND(IF(MOD($A27,12)=0,J27,(IF(27=4,0,F26))*(1-$K27)+IF((IF(27=4,0,F26))*(1-$K27)&lt;J27,(J27-(IF(27=4,0,F26))*(1-$K27))*Hypothèses!$B$10,0)),1)</f>
        <v>0.7</v>
      </c>
      <c r="G27">
        <f>(IF(B27=1,0,IF(B27=2,Hypothèses!$B$26,IF(B27=3,Hypothèses!$C$26,Hypothèses!$D$26)))+(IF(B27=1,Hypothèses!$B$26,IF(B27=2,Hypothèses!$C$26,IF(B27=3,Hypothèses!$D$26,Hypothèses!$D$26)))-(IF(B27=1,0,IF(B27=2,Hypothèses!$B$26,IF(B27=3,Hypothèses!$C$26,Hypothèses!$D$26)))))*((A27)-INT((A27-1)/12)*12)/12)*$B$1</f>
        <v>7</v>
      </c>
      <c r="H27">
        <f>(IF(B27=1,0,IF(B27=2,Hypothèses!$B$27,IF(B27=3,Hypothèses!$C$27,Hypothèses!$D$27)))+(IF(B27=1,Hypothèses!$B$27,IF(B27=2,Hypothèses!$C$27,IF(B27=3,Hypothèses!$D$27,Hypothèses!$D$27)))-(IF(B27=1,0,IF(B27=2,Hypothèses!$B$27,IF(B27=3,Hypothèses!$C$27,Hypothèses!$D$27)))))*((A27)-INT((A27-1)/12)*12)/12)*$B$1</f>
        <v>24.5</v>
      </c>
      <c r="I27">
        <f>(IF(B27=1,0,IF(B27=2,Hypothèses!$B$28,IF(B27=3,Hypothèses!$C$28,Hypothèses!$D$28)))+(IF(B27=1,Hypothèses!$B$28,IF(B27=2,Hypothèses!$C$28,IF(B27=3,Hypothèses!$D$28,Hypothèses!$D$28)))-(IF(B27=1,0,IF(B27=2,Hypothèses!$B$28,IF(B27=3,Hypothèses!$C$28,Hypothèses!$D$28)))))*((A27)-INT((A27-1)/12)*12)/12)*$B$1</f>
        <v>0.7</v>
      </c>
      <c r="J27">
        <f>(IF(B27=1,0,IF(B27=2,Hypothèses!$B$29,IF(B27=3,Hypothèses!$C$29,Hypothèses!$D$29)))+(IF(B27=1,Hypothèses!$B$29,IF(B27=2,Hypothèses!$C$29,IF(B27=3,Hypothèses!$D$29,Hypothèses!$D$29)))-(IF(B27=1,0,IF(B27=2,Hypothèses!$B$29,IF(B27=3,Hypothèses!$C$29,Hypothèses!$D$29)))))*((A27)-INT((A27-1)/12)*12)/12)*$B$1</f>
        <v>0.7</v>
      </c>
      <c r="K27">
        <f>IF(A27&lt;Hypothèses!$B$7,0,Hypothèses!$B$8*(1-Hypothèses!$B$9)^(A27-Hypothèses!$B$7))</f>
        <v>1.0294556604732457E-2</v>
      </c>
      <c r="L27">
        <f t="shared" si="1"/>
        <v>32.900000000000006</v>
      </c>
      <c r="M27">
        <f>(C27*Hypothèses!$B$11+D27*Hypothèses!$B$12+E27*Hypothèses!$B$13+F27*Hypothèses!$B$14)*(IF(B27=1,Hypothèses!$B$20,IF(B27=2,Hypothèses!$B$21,Hypothèses!$B$22))+(1-(IF(B27=1,Hypothèses!$B$20,IF(B27=2,Hypothèses!$B$21,Hypothèses!$B$22))))*11/12)</f>
        <v>5094.3083333333334</v>
      </c>
      <c r="N27">
        <f>L27*IF(B27=1,Hypothèses!$C$20,IF(B27=2,Hypothèses!$C$21,Hypothèses!$C$22))*IF(B27=1,Hypothèses!$D$20,IF(B27=2,Hypothèses!$D$21,Hypothèses!$D$22))</f>
        <v>82.250000000000028</v>
      </c>
      <c r="O27">
        <f>IF(A27=18,IF($B$2&gt;=1,Hypothèses!$B$33,0),IF(AND(OR(A27=30,A27=34),$D$2&gt;=1),Hypothèses!$B$34*MIN(1,$D$2/3),0))</f>
        <v>0</v>
      </c>
      <c r="P27">
        <f t="shared" si="2"/>
        <v>5176.5583333333334</v>
      </c>
      <c r="Q27">
        <f>P27/(1+Hypothèses!$B$6)</f>
        <v>4313.7986111111113</v>
      </c>
      <c r="R27">
        <f>Hypothèses!$B$3*(1+Hypothèses!$B$4)^INT((A27-1)/3)</f>
        <v>1330.0099402343742</v>
      </c>
      <c r="S27">
        <f>0</f>
        <v>0</v>
      </c>
      <c r="T27">
        <f>S27*Hypothèses!$B$17</f>
        <v>0</v>
      </c>
      <c r="U27">
        <f>Q27*Hypothèses!$B$5</f>
        <v>43.137986111111111</v>
      </c>
      <c r="V27">
        <f t="shared" si="3"/>
        <v>2940.650684765626</v>
      </c>
      <c r="W27">
        <f t="shared" si="4"/>
        <v>29088.672937109386</v>
      </c>
    </row>
    <row r="28" spans="1:23" x14ac:dyDescent="0.25">
      <c r="A28">
        <v>25</v>
      </c>
      <c r="B28">
        <f t="shared" si="0"/>
        <v>3</v>
      </c>
      <c r="C28">
        <f>ROUND(IF(MOD($A28,12)=0,G28,(IF(28=4,0,C27))*(1-$K28)+IF((IF(28=4,0,C27))*(1-$K28)&lt;G28,(G28-(IF(28=4,0,C27))*(1-$K28))*Hypothèses!$B$10,0)),1)</f>
        <v>7.2</v>
      </c>
      <c r="D28">
        <f>ROUND(IF(MOD($A28,12)=0,H28,(IF(28=4,0,D27))*(1-$K28)+IF((IF(28=4,0,D27))*(1-$K28)&lt;H28,(H28-(IF(28=4,0,D27))*(1-$K28))*Hypothèses!$B$10,0)),1)</f>
        <v>25.2</v>
      </c>
      <c r="E28">
        <f>ROUND(IF(MOD($A28,12)=0,I28,(IF(28=4,0,E27))*(1-$K28)+IF((IF(28=4,0,E27))*(1-$K28)&lt;I28,(I28-(IF(28=4,0,E27))*(1-$K28))*Hypothèses!$B$10,0)),1)</f>
        <v>0.7</v>
      </c>
      <c r="F28">
        <f>ROUND(IF(MOD($A28,12)=0,J28,(IF(28=4,0,F27))*(1-$K28)+IF((IF(28=4,0,F27))*(1-$K28)&lt;J28,(J28-(IF(28=4,0,F27))*(1-$K28))*Hypothèses!$B$10,0)),1)</f>
        <v>0.7</v>
      </c>
      <c r="G28">
        <f>(IF(B28=1,0,IF(B28=2,Hypothèses!$B$26,IF(B28=3,Hypothèses!$C$26,Hypothèses!$D$26)))+(IF(B28=1,Hypothèses!$B$26,IF(B28=2,Hypothèses!$C$26,IF(B28=3,Hypothèses!$D$26,Hypothèses!$D$26)))-(IF(B28=1,0,IF(B28=2,Hypothèses!$B$26,IF(B28=3,Hypothèses!$C$26,Hypothèses!$D$26)))))*((A28)-INT((A28-1)/12)*12)/12)*$B$1</f>
        <v>7.583333333333333</v>
      </c>
      <c r="H28">
        <f>(IF(B28=1,0,IF(B28=2,Hypothèses!$B$27,IF(B28=3,Hypothèses!$C$27,Hypothèses!$D$27)))+(IF(B28=1,Hypothèses!$B$27,IF(B28=2,Hypothèses!$C$27,IF(B28=3,Hypothèses!$D$27,Hypothèses!$D$27)))-(IF(B28=1,0,IF(B28=2,Hypothèses!$B$27,IF(B28=3,Hypothèses!$C$27,Hypothèses!$D$27)))))*((A28)-INT((A28-1)/12)*12)/12)*$B$1</f>
        <v>26.541666666666664</v>
      </c>
      <c r="I28">
        <f>(IF(B28=1,0,IF(B28=2,Hypothèses!$B$28,IF(B28=3,Hypothèses!$C$28,Hypothèses!$D$28)))+(IF(B28=1,Hypothèses!$B$28,IF(B28=2,Hypothèses!$C$28,IF(B28=3,Hypothèses!$D$28,Hypothèses!$D$28)))-(IF(B28=1,0,IF(B28=2,Hypothèses!$B$28,IF(B28=3,Hypothèses!$C$28,Hypothèses!$D$28)))))*((A28)-INT((A28-1)/12)*12)/12)*$B$1</f>
        <v>0.81666666666666665</v>
      </c>
      <c r="J28">
        <f>(IF(B28=1,0,IF(B28=2,Hypothèses!$B$29,IF(B28=3,Hypothèses!$C$29,Hypothèses!$D$29)))+(IF(B28=1,Hypothèses!$B$29,IF(B28=2,Hypothèses!$C$29,IF(B28=3,Hypothèses!$D$29,Hypothèses!$D$29)))-(IF(B28=1,0,IF(B28=2,Hypothèses!$B$29,IF(B28=3,Hypothèses!$C$29,Hypothèses!$D$29)))))*((A28)-INT((A28-1)/12)*12)/12)*$B$1</f>
        <v>0.75833333333333319</v>
      </c>
      <c r="K28">
        <f>IF(A28&lt;Hypothèses!$B$7,0,Hypothèses!$B$8*(1-Hypothèses!$B$9)^(A28-Hypothèses!$B$7))</f>
        <v>9.2651009442592126E-3</v>
      </c>
      <c r="L28">
        <f t="shared" si="1"/>
        <v>33.800000000000004</v>
      </c>
      <c r="M28">
        <f>(C28*Hypothèses!$B$11+D28*Hypothèses!$B$12+E28*Hypothèses!$B$13+F28*Hypothèses!$B$14)*(IF(B28=1,Hypothèses!$B$20,IF(B28=2,Hypothèses!$B$21,Hypothèses!$B$22))+(1-(IF(B28=1,Hypothèses!$B$20,IF(B28=2,Hypothèses!$B$21,Hypothèses!$B$22))))*11/12)</f>
        <v>5166.0049999999992</v>
      </c>
      <c r="N28">
        <f>L28*IF(B28=1,Hypothèses!$C$20,IF(B28=2,Hypothèses!$C$21,Hypothèses!$C$22))*IF(B28=1,Hypothèses!$D$20,IF(B28=2,Hypothèses!$D$21,Hypothèses!$D$22))</f>
        <v>121.68</v>
      </c>
      <c r="O28">
        <f>IF(A28=18,IF($B$2&gt;=1,Hypothèses!$B$33,0),IF(AND(OR(A28=30,A28=34),$D$2&gt;=1),Hypothèses!$B$34*MIN(1,$D$2/3),0))</f>
        <v>0</v>
      </c>
      <c r="P28">
        <f t="shared" si="2"/>
        <v>5287.6849999999995</v>
      </c>
      <c r="Q28">
        <f>P28/(1+Hypothèses!$B$6)</f>
        <v>4406.4041666666662</v>
      </c>
      <c r="R28">
        <f>Hypothèses!$B$3*(1+Hypothèses!$B$4)^INT((A28-1)/3)</f>
        <v>1529.5114312695302</v>
      </c>
      <c r="S28">
        <f>0</f>
        <v>0</v>
      </c>
      <c r="T28">
        <f>S28*Hypothèses!$B$17</f>
        <v>0</v>
      </c>
      <c r="U28">
        <f>Q28*Hypothèses!$B$5</f>
        <v>44.064041666666661</v>
      </c>
      <c r="V28">
        <f t="shared" si="3"/>
        <v>2832.8286937304692</v>
      </c>
      <c r="W28">
        <f t="shared" si="4"/>
        <v>31921.501630839855</v>
      </c>
    </row>
    <row r="29" spans="1:23" x14ac:dyDescent="0.25">
      <c r="A29">
        <v>26</v>
      </c>
      <c r="B29">
        <f t="shared" si="0"/>
        <v>3</v>
      </c>
      <c r="C29">
        <f>ROUND(IF(MOD($A29,12)=0,G29,(IF(29=4,0,C28))*(1-$K29)+IF((IF(29=4,0,C28))*(1-$K29)&lt;G29,(G29-(IF(29=4,0,C28))*(1-$K29))*Hypothèses!$B$10,0)),1)</f>
        <v>7.6</v>
      </c>
      <c r="D29">
        <f>ROUND(IF(MOD($A29,12)=0,H29,(IF(29=4,0,D28))*(1-$K29)+IF((IF(29=4,0,D28))*(1-$K29)&lt;H29,(H29-(IF(29=4,0,D28))*(1-$K29))*Hypothèses!$B$10,0)),1)</f>
        <v>26.4</v>
      </c>
      <c r="E29">
        <f>ROUND(IF(MOD($A29,12)=0,I29,(IF(29=4,0,E28))*(1-$K29)+IF((IF(29=4,0,E28))*(1-$K29)&lt;I29,(I29-(IF(29=4,0,E28))*(1-$K29))*Hypothèses!$B$10,0)),1)</f>
        <v>0.8</v>
      </c>
      <c r="F29">
        <f>ROUND(IF(MOD($A29,12)=0,J29,(IF(29=4,0,F28))*(1-$K29)+IF((IF(29=4,0,F28))*(1-$K29)&lt;J29,(J29-(IF(29=4,0,F28))*(1-$K29))*Hypothèses!$B$10,0)),1)</f>
        <v>0.7</v>
      </c>
      <c r="G29">
        <f>(IF(B29=1,0,IF(B29=2,Hypothèses!$B$26,IF(B29=3,Hypothèses!$C$26,Hypothèses!$D$26)))+(IF(B29=1,Hypothèses!$B$26,IF(B29=2,Hypothèses!$C$26,IF(B29=3,Hypothèses!$D$26,Hypothèses!$D$26)))-(IF(B29=1,0,IF(B29=2,Hypothèses!$B$26,IF(B29=3,Hypothèses!$C$26,Hypothèses!$D$26)))))*((A29)-INT((A29-1)/12)*12)/12)*$B$1</f>
        <v>8.1666666666666661</v>
      </c>
      <c r="H29">
        <f>(IF(B29=1,0,IF(B29=2,Hypothèses!$B$27,IF(B29=3,Hypothèses!$C$27,Hypothèses!$D$27)))+(IF(B29=1,Hypothèses!$B$27,IF(B29=2,Hypothèses!$C$27,IF(B29=3,Hypothèses!$D$27,Hypothèses!$D$27)))-(IF(B29=1,0,IF(B29=2,Hypothèses!$B$27,IF(B29=3,Hypothèses!$C$27,Hypothèses!$D$27)))))*((A29)-INT((A29-1)/12)*12)/12)*$B$1</f>
        <v>28.583333333333332</v>
      </c>
      <c r="I29">
        <f>(IF(B29=1,0,IF(B29=2,Hypothèses!$B$28,IF(B29=3,Hypothèses!$C$28,Hypothèses!$D$28)))+(IF(B29=1,Hypothèses!$B$28,IF(B29=2,Hypothèses!$C$28,IF(B29=3,Hypothèses!$D$28,Hypothèses!$D$28)))-(IF(B29=1,0,IF(B29=2,Hypothèses!$B$28,IF(B29=3,Hypothèses!$C$28,Hypothèses!$D$28)))))*((A29)-INT((A29-1)/12)*12)/12)*$B$1</f>
        <v>0.93333333333333324</v>
      </c>
      <c r="J29">
        <f>(IF(B29=1,0,IF(B29=2,Hypothèses!$B$29,IF(B29=3,Hypothèses!$C$29,Hypothèses!$D$29)))+(IF(B29=1,Hypothèses!$B$29,IF(B29=2,Hypothèses!$C$29,IF(B29=3,Hypothèses!$D$29,Hypothèses!$D$29)))-(IF(B29=1,0,IF(B29=2,Hypothèses!$B$29,IF(B29=3,Hypothèses!$C$29,Hypothèses!$D$29)))))*((A29)-INT((A29-1)/12)*12)/12)*$B$1</f>
        <v>0.81666666666666665</v>
      </c>
      <c r="K29">
        <f>IF(A29&lt;Hypothèses!$B$7,0,Hypothèses!$B$8*(1-Hypothèses!$B$9)^(A29-Hypothèses!$B$7))</f>
        <v>8.3385908498332922E-3</v>
      </c>
      <c r="L29">
        <f t="shared" si="1"/>
        <v>35.5</v>
      </c>
      <c r="M29">
        <f>(C29*Hypothèses!$B$11+D29*Hypothèses!$B$12+E29*Hypothèses!$B$13+F29*Hypothèses!$B$14)*(IF(B29=1,Hypothèses!$B$20,IF(B29=2,Hypothèses!$B$21,Hypothèses!$B$22))+(1-(IF(B29=1,Hypothèses!$B$20,IF(B29=2,Hypothèses!$B$21,Hypothèses!$B$22))))*11/12)</f>
        <v>5417.0899999999992</v>
      </c>
      <c r="N29">
        <f>L29*IF(B29=1,Hypothèses!$C$20,IF(B29=2,Hypothèses!$C$21,Hypothèses!$C$22))*IF(B29=1,Hypothèses!$D$20,IF(B29=2,Hypothèses!$D$21,Hypothèses!$D$22))</f>
        <v>127.8</v>
      </c>
      <c r="O29">
        <f>IF(A29=18,IF($B$2&gt;=1,Hypothèses!$B$33,0),IF(AND(OR(A29=30,A29=34),$D$2&gt;=1),Hypothèses!$B$34*MIN(1,$D$2/3),0))</f>
        <v>0</v>
      </c>
      <c r="P29">
        <f t="shared" si="2"/>
        <v>5544.8899999999994</v>
      </c>
      <c r="Q29">
        <f>P29/(1+Hypothèses!$B$6)</f>
        <v>4620.7416666666668</v>
      </c>
      <c r="R29">
        <f>Hypothèses!$B$3*(1+Hypothèses!$B$4)^INT((A29-1)/3)</f>
        <v>1529.5114312695302</v>
      </c>
      <c r="S29">
        <f>0</f>
        <v>0</v>
      </c>
      <c r="T29">
        <f>S29*Hypothèses!$B$17</f>
        <v>0</v>
      </c>
      <c r="U29">
        <f>Q29*Hypothèses!$B$5</f>
        <v>46.207416666666667</v>
      </c>
      <c r="V29">
        <f t="shared" si="3"/>
        <v>3045.0228187304697</v>
      </c>
      <c r="W29">
        <f t="shared" si="4"/>
        <v>34966.524449570323</v>
      </c>
    </row>
    <row r="30" spans="1:23" x14ac:dyDescent="0.25">
      <c r="A30">
        <v>27</v>
      </c>
      <c r="B30">
        <f t="shared" si="0"/>
        <v>3</v>
      </c>
      <c r="C30">
        <f>ROUND(IF(MOD($A30,12)=0,G30,(IF(30=4,0,C29))*(1-$K30)+IF((IF(30=4,0,C29))*(1-$K30)&lt;G30,(G30-(IF(30=4,0,C29))*(1-$K30))*Hypothèses!$B$10,0)),1)</f>
        <v>8</v>
      </c>
      <c r="D30">
        <f>ROUND(IF(MOD($A30,12)=0,H30,(IF(30=4,0,D29))*(1-$K30)+IF((IF(30=4,0,D29))*(1-$K30)&lt;H30,(H30-(IF(30=4,0,D29))*(1-$K30))*Hypothèses!$B$10,0)),1)</f>
        <v>28</v>
      </c>
      <c r="E30">
        <f>ROUND(IF(MOD($A30,12)=0,I30,(IF(30=4,0,E29))*(1-$K30)+IF((IF(30=4,0,E29))*(1-$K30)&lt;I30,(I30-(IF(30=4,0,E29))*(1-$K30))*Hypothèses!$B$10,0)),1)</f>
        <v>0.9</v>
      </c>
      <c r="F30">
        <f>ROUND(IF(MOD($A30,12)=0,J30,(IF(30=4,0,F29))*(1-$K30)+IF((IF(30=4,0,F29))*(1-$K30)&lt;J30,(J30-(IF(30=4,0,F29))*(1-$K30))*Hypothèses!$B$10,0)),1)</f>
        <v>0.8</v>
      </c>
      <c r="G30">
        <f>(IF(B30=1,0,IF(B30=2,Hypothèses!$B$26,IF(B30=3,Hypothèses!$C$26,Hypothèses!$D$26)))+(IF(B30=1,Hypothèses!$B$26,IF(B30=2,Hypothèses!$C$26,IF(B30=3,Hypothèses!$D$26,Hypothèses!$D$26)))-(IF(B30=1,0,IF(B30=2,Hypothèses!$B$26,IF(B30=3,Hypothèses!$C$26,Hypothèses!$D$26)))))*((A30)-INT((A30-1)/12)*12)/12)*$B$1</f>
        <v>8.75</v>
      </c>
      <c r="H30">
        <f>(IF(B30=1,0,IF(B30=2,Hypothèses!$B$27,IF(B30=3,Hypothèses!$C$27,Hypothèses!$D$27)))+(IF(B30=1,Hypothèses!$B$27,IF(B30=2,Hypothèses!$C$27,IF(B30=3,Hypothèses!$D$27,Hypothèses!$D$27)))-(IF(B30=1,0,IF(B30=2,Hypothèses!$B$27,IF(B30=3,Hypothèses!$C$27,Hypothèses!$D$27)))))*((A30)-INT((A30-1)/12)*12)/12)*$B$1</f>
        <v>30.624999999999996</v>
      </c>
      <c r="I30">
        <f>(IF(B30=1,0,IF(B30=2,Hypothèses!$B$28,IF(B30=3,Hypothèses!$C$28,Hypothèses!$D$28)))+(IF(B30=1,Hypothèses!$B$28,IF(B30=2,Hypothèses!$C$28,IF(B30=3,Hypothèses!$D$28,Hypothèses!$D$28)))-(IF(B30=1,0,IF(B30=2,Hypothèses!$B$28,IF(B30=3,Hypothèses!$C$28,Hypothèses!$D$28)))))*((A30)-INT((A30-1)/12)*12)/12)*$B$1</f>
        <v>1.0499999999999998</v>
      </c>
      <c r="J30">
        <f>(IF(B30=1,0,IF(B30=2,Hypothèses!$B$29,IF(B30=3,Hypothèses!$C$29,Hypothèses!$D$29)))+(IF(B30=1,Hypothèses!$B$29,IF(B30=2,Hypothèses!$C$29,IF(B30=3,Hypothèses!$D$29,Hypothèses!$D$29)))-(IF(B30=1,0,IF(B30=2,Hypothèses!$B$29,IF(B30=3,Hypothèses!$C$29,Hypothèses!$D$29)))))*((A30)-INT((A30-1)/12)*12)/12)*$B$1</f>
        <v>0.875</v>
      </c>
      <c r="K30">
        <f>IF(A30&lt;Hypothèses!$B$7,0,Hypothèses!$B$8*(1-Hypothèses!$B$9)^(A30-Hypothèses!$B$7))</f>
        <v>7.5047317648499617E-3</v>
      </c>
      <c r="L30">
        <f t="shared" si="1"/>
        <v>37.699999999999996</v>
      </c>
      <c r="M30">
        <f>(C30*Hypothèses!$B$11+D30*Hypothèses!$B$12+E30*Hypothèses!$B$13+F30*Hypothèses!$B$14)*(IF(B30=1,Hypothèses!$B$20,IF(B30=2,Hypothèses!$B$21,Hypothèses!$B$22))+(1-(IF(B30=1,Hypothèses!$B$20,IF(B30=2,Hypothèses!$B$21,Hypothèses!$B$22))))*11/12)</f>
        <v>5818.8450000000003</v>
      </c>
      <c r="N30">
        <f>L30*IF(B30=1,Hypothèses!$C$20,IF(B30=2,Hypothèses!$C$21,Hypothèses!$C$22))*IF(B30=1,Hypothèses!$D$20,IF(B30=2,Hypothèses!$D$21,Hypothèses!$D$22))</f>
        <v>135.71999999999997</v>
      </c>
      <c r="O30">
        <f>IF(A30=18,IF($B$2&gt;=1,Hypothèses!$B$33,0),IF(AND(OR(A30=30,A30=34),$D$2&gt;=1),Hypothèses!$B$34*MIN(1,$D$2/3),0))</f>
        <v>0</v>
      </c>
      <c r="P30">
        <f t="shared" si="2"/>
        <v>5954.5650000000005</v>
      </c>
      <c r="Q30">
        <f>P30/(1+Hypothèses!$B$6)</f>
        <v>4962.1375000000007</v>
      </c>
      <c r="R30">
        <f>Hypothèses!$B$3*(1+Hypothèses!$B$4)^INT((A30-1)/3)</f>
        <v>1529.5114312695302</v>
      </c>
      <c r="S30">
        <f>0</f>
        <v>0</v>
      </c>
      <c r="T30">
        <f>S30*Hypothèses!$B$17</f>
        <v>0</v>
      </c>
      <c r="U30">
        <f>Q30*Hypothèses!$B$5</f>
        <v>49.621375000000008</v>
      </c>
      <c r="V30">
        <f t="shared" si="3"/>
        <v>3383.0046937304701</v>
      </c>
      <c r="W30">
        <f t="shared" si="4"/>
        <v>38349.529143300795</v>
      </c>
    </row>
    <row r="31" spans="1:23" x14ac:dyDescent="0.25">
      <c r="A31">
        <v>28</v>
      </c>
      <c r="B31">
        <f t="shared" si="0"/>
        <v>3</v>
      </c>
      <c r="C31">
        <f>ROUND(IF(MOD($A31,12)=0,G31,(IF(31=4,0,C30))*(1-$K31)+IF((IF(31=4,0,C30))*(1-$K31)&lt;G31,(G31-(IF(31=4,0,C30))*(1-$K31))*Hypothèses!$B$10,0)),1)</f>
        <v>8.5</v>
      </c>
      <c r="D31">
        <f>ROUND(IF(MOD($A31,12)=0,H31,(IF(31=4,0,D30))*(1-$K31)+IF((IF(31=4,0,D30))*(1-$K31)&lt;H31,(H31-(IF(31=4,0,D30))*(1-$K31))*Hypothèses!$B$10,0)),1)</f>
        <v>29.8</v>
      </c>
      <c r="E31">
        <f>ROUND(IF(MOD($A31,12)=0,I31,(IF(31=4,0,E30))*(1-$K31)+IF((IF(31=4,0,E30))*(1-$K31)&lt;I31,(I31-(IF(31=4,0,E30))*(1-$K31))*Hypothèses!$B$10,0)),1)</f>
        <v>1</v>
      </c>
      <c r="F31">
        <f>ROUND(IF(MOD($A31,12)=0,J31,(IF(31=4,0,F30))*(1-$K31)+IF((IF(31=4,0,F30))*(1-$K31)&lt;J31,(J31-(IF(31=4,0,F30))*(1-$K31))*Hypothèses!$B$10,0)),1)</f>
        <v>0.9</v>
      </c>
      <c r="G31">
        <f>(IF(B31=1,0,IF(B31=2,Hypothèses!$B$26,IF(B31=3,Hypothèses!$C$26,Hypothèses!$D$26)))+(IF(B31=1,Hypothèses!$B$26,IF(B31=2,Hypothèses!$C$26,IF(B31=3,Hypothèses!$D$26,Hypothèses!$D$26)))-(IF(B31=1,0,IF(B31=2,Hypothèses!$B$26,IF(B31=3,Hypothèses!$C$26,Hypothèses!$D$26)))))*((A31)-INT((A31-1)/12)*12)/12)*$B$1</f>
        <v>9.3333333333333339</v>
      </c>
      <c r="H31">
        <f>(IF(B31=1,0,IF(B31=2,Hypothèses!$B$27,IF(B31=3,Hypothèses!$C$27,Hypothèses!$D$27)))+(IF(B31=1,Hypothèses!$B$27,IF(B31=2,Hypothèses!$C$27,IF(B31=3,Hypothèses!$D$27,Hypothèses!$D$27)))-(IF(B31=1,0,IF(B31=2,Hypothèses!$B$27,IF(B31=3,Hypothèses!$C$27,Hypothèses!$D$27)))))*((A31)-INT((A31-1)/12)*12)/12)*$B$1</f>
        <v>32.666666666666664</v>
      </c>
      <c r="I31">
        <f>(IF(B31=1,0,IF(B31=2,Hypothèses!$B$28,IF(B31=3,Hypothèses!$C$28,Hypothèses!$D$28)))+(IF(B31=1,Hypothèses!$B$28,IF(B31=2,Hypothèses!$C$28,IF(B31=3,Hypothèses!$D$28,Hypothèses!$D$28)))-(IF(B31=1,0,IF(B31=2,Hypothèses!$B$28,IF(B31=3,Hypothèses!$C$28,Hypothèses!$D$28)))))*((A31)-INT((A31-1)/12)*12)/12)*$B$1</f>
        <v>1.1666666666666665</v>
      </c>
      <c r="J31">
        <f>(IF(B31=1,0,IF(B31=2,Hypothèses!$B$29,IF(B31=3,Hypothèses!$C$29,Hypothèses!$D$29)))+(IF(B31=1,Hypothèses!$B$29,IF(B31=2,Hypothèses!$C$29,IF(B31=3,Hypothèses!$D$29,Hypothèses!$D$29)))-(IF(B31=1,0,IF(B31=2,Hypothèses!$B$29,IF(B31=3,Hypothèses!$C$29,Hypothèses!$D$29)))))*((A31)-INT((A31-1)/12)*12)/12)*$B$1</f>
        <v>0.93333333333333324</v>
      </c>
      <c r="K31">
        <f>IF(A31&lt;Hypothèses!$B$7,0,Hypothèses!$B$8*(1-Hypothèses!$B$9)^(A31-Hypothèses!$B$7))</f>
        <v>6.754258588364967E-3</v>
      </c>
      <c r="L31">
        <f t="shared" si="1"/>
        <v>40.199999999999996</v>
      </c>
      <c r="M31">
        <f>(C31*Hypothèses!$B$11+D31*Hypothèses!$B$12+E31*Hypothèses!$B$13+F31*Hypothèses!$B$14)*(IF(B31=1,Hypothèses!$B$20,IF(B31=2,Hypothèses!$B$21,Hypothèses!$B$22))+(1-(IF(B31=1,Hypothèses!$B$20,IF(B31=2,Hypothèses!$B$21,Hypothèses!$B$22))))*11/12)</f>
        <v>6257.3649999999998</v>
      </c>
      <c r="N31">
        <f>L31*IF(B31=1,Hypothèses!$C$20,IF(B31=2,Hypothèses!$C$21,Hypothèses!$C$22))*IF(B31=1,Hypothèses!$D$20,IF(B31=2,Hypothèses!$D$21,Hypothèses!$D$22))</f>
        <v>144.71999999999997</v>
      </c>
      <c r="O31">
        <f>IF(A31=18,IF($B$2&gt;=1,Hypothèses!$B$33,0),IF(AND(OR(A31=30,A31=34),$D$2&gt;=1),Hypothèses!$B$34*MIN(1,$D$2/3),0))</f>
        <v>0</v>
      </c>
      <c r="P31">
        <f t="shared" si="2"/>
        <v>6402.085</v>
      </c>
      <c r="Q31">
        <f>P31/(1+Hypothèses!$B$6)</f>
        <v>5335.0708333333332</v>
      </c>
      <c r="R31">
        <f>Hypothèses!$B$3*(1+Hypothèses!$B$4)^INT((A31-1)/3)</f>
        <v>1758.9381459599595</v>
      </c>
      <c r="S31">
        <f>0</f>
        <v>0</v>
      </c>
      <c r="T31">
        <f>S31*Hypothèses!$B$17</f>
        <v>0</v>
      </c>
      <c r="U31">
        <f>Q31*Hypothèses!$B$5</f>
        <v>53.35070833333333</v>
      </c>
      <c r="V31">
        <f t="shared" si="3"/>
        <v>3522.7819790400404</v>
      </c>
      <c r="W31">
        <f t="shared" si="4"/>
        <v>41872.311122340834</v>
      </c>
    </row>
    <row r="32" spans="1:23" x14ac:dyDescent="0.25">
      <c r="A32">
        <v>29</v>
      </c>
      <c r="B32">
        <f t="shared" si="0"/>
        <v>3</v>
      </c>
      <c r="C32">
        <f>ROUND(IF(MOD($A32,12)=0,G32,(IF(32=4,0,C31))*(1-$K32)+IF((IF(32=4,0,C31))*(1-$K32)&lt;G32,(G32-(IF(32=4,0,C31))*(1-$K32))*Hypothèses!$B$10,0)),1)</f>
        <v>9</v>
      </c>
      <c r="D32">
        <f>ROUND(IF(MOD($A32,12)=0,H32,(IF(32=4,0,D31))*(1-$K32)+IF((IF(32=4,0,D31))*(1-$K32)&lt;H32,(H32-(IF(32=4,0,D31))*(1-$K32))*Hypothèses!$B$10,0)),1)</f>
        <v>31.7</v>
      </c>
      <c r="E32">
        <f>ROUND(IF(MOD($A32,12)=0,I32,(IF(32=4,0,E31))*(1-$K32)+IF((IF(32=4,0,E31))*(1-$K32)&lt;I32,(I32-(IF(32=4,0,E31))*(1-$K32))*Hypothèses!$B$10,0)),1)</f>
        <v>1.1000000000000001</v>
      </c>
      <c r="F32">
        <f>ROUND(IF(MOD($A32,12)=0,J32,(IF(32=4,0,F31))*(1-$K32)+IF((IF(32=4,0,F31))*(1-$K32)&lt;J32,(J32-(IF(32=4,0,F31))*(1-$K32))*Hypothèses!$B$10,0)),1)</f>
        <v>0.9</v>
      </c>
      <c r="G32">
        <f>(IF(B32=1,0,IF(B32=2,Hypothèses!$B$26,IF(B32=3,Hypothèses!$C$26,Hypothèses!$D$26)))+(IF(B32=1,Hypothèses!$B$26,IF(B32=2,Hypothèses!$C$26,IF(B32=3,Hypothèses!$D$26,Hypothèses!$D$26)))-(IF(B32=1,0,IF(B32=2,Hypothèses!$B$26,IF(B32=3,Hypothèses!$C$26,Hypothèses!$D$26)))))*((A32)-INT((A32-1)/12)*12)/12)*$B$1</f>
        <v>9.9166666666666661</v>
      </c>
      <c r="H32">
        <f>(IF(B32=1,0,IF(B32=2,Hypothèses!$B$27,IF(B32=3,Hypothèses!$C$27,Hypothèses!$D$27)))+(IF(B32=1,Hypothèses!$B$27,IF(B32=2,Hypothèses!$C$27,IF(B32=3,Hypothèses!$D$27,Hypothèses!$D$27)))-(IF(B32=1,0,IF(B32=2,Hypothèses!$B$27,IF(B32=3,Hypothèses!$C$27,Hypothèses!$D$27)))))*((A32)-INT((A32-1)/12)*12)/12)*$B$1</f>
        <v>34.708333333333336</v>
      </c>
      <c r="I32">
        <f>(IF(B32=1,0,IF(B32=2,Hypothèses!$B$28,IF(B32=3,Hypothèses!$C$28,Hypothèses!$D$28)))+(IF(B32=1,Hypothèses!$B$28,IF(B32=2,Hypothèses!$C$28,IF(B32=3,Hypothèses!$D$28,Hypothèses!$D$28)))-(IF(B32=1,0,IF(B32=2,Hypothèses!$B$28,IF(B32=3,Hypothèses!$C$28,Hypothèses!$D$28)))))*((A32)-INT((A32-1)/12)*12)/12)*$B$1</f>
        <v>1.2833333333333334</v>
      </c>
      <c r="J32">
        <f>(IF(B32=1,0,IF(B32=2,Hypothèses!$B$29,IF(B32=3,Hypothèses!$C$29,Hypothèses!$D$29)))+(IF(B32=1,Hypothèses!$B$29,IF(B32=2,Hypothèses!$C$29,IF(B32=3,Hypothèses!$D$29,Hypothèses!$D$29)))-(IF(B32=1,0,IF(B32=2,Hypothèses!$B$29,IF(B32=3,Hypothèses!$C$29,Hypothèses!$D$29)))))*((A32)-INT((A32-1)/12)*12)/12)*$B$1</f>
        <v>0.9916666666666667</v>
      </c>
      <c r="K32">
        <f>IF(A32&lt;Hypothèses!$B$7,0,Hypothèses!$B$8*(1-Hypothèses!$B$9)^(A32-Hypothèses!$B$7))</f>
        <v>6.0788327295284708E-3</v>
      </c>
      <c r="L32">
        <f t="shared" si="1"/>
        <v>42.7</v>
      </c>
      <c r="M32">
        <f>(C32*Hypothèses!$B$11+D32*Hypothèses!$B$12+E32*Hypothèses!$B$13+F32*Hypothèses!$B$14)*(IF(B32=1,Hypothèses!$B$20,IF(B32=2,Hypothèses!$B$21,Hypothèses!$B$22))+(1-(IF(B32=1,Hypothèses!$B$20,IF(B32=2,Hypothèses!$B$21,Hypothèses!$B$22))))*11/12)</f>
        <v>6615.9900000000007</v>
      </c>
      <c r="N32">
        <f>L32*IF(B32=1,Hypothèses!$C$20,IF(B32=2,Hypothèses!$C$21,Hypothèses!$C$22))*IF(B32=1,Hypothèses!$D$20,IF(B32=2,Hypothèses!$D$21,Hypothèses!$D$22))</f>
        <v>153.72000000000003</v>
      </c>
      <c r="O32">
        <f>IF(A32=18,IF($B$2&gt;=1,Hypothèses!$B$33,0),IF(AND(OR(A32=30,A32=34),$D$2&gt;=1),Hypothèses!$B$34*MIN(1,$D$2/3),0))</f>
        <v>0</v>
      </c>
      <c r="P32">
        <f t="shared" si="2"/>
        <v>6769.7100000000009</v>
      </c>
      <c r="Q32">
        <f>P32/(1+Hypothèses!$B$6)</f>
        <v>5641.4250000000011</v>
      </c>
      <c r="R32">
        <f>Hypothèses!$B$3*(1+Hypothèses!$B$4)^INT((A32-1)/3)</f>
        <v>1758.9381459599595</v>
      </c>
      <c r="S32">
        <f>0</f>
        <v>0</v>
      </c>
      <c r="T32">
        <f>S32*Hypothèses!$B$17</f>
        <v>0</v>
      </c>
      <c r="U32">
        <f>Q32*Hypothèses!$B$5</f>
        <v>56.41425000000001</v>
      </c>
      <c r="V32">
        <f t="shared" si="3"/>
        <v>3826.0726040400418</v>
      </c>
      <c r="W32">
        <f t="shared" si="4"/>
        <v>45698.383726380875</v>
      </c>
    </row>
    <row r="33" spans="1:23" x14ac:dyDescent="0.25">
      <c r="A33">
        <v>30</v>
      </c>
      <c r="B33">
        <f t="shared" si="0"/>
        <v>3</v>
      </c>
      <c r="C33">
        <f>ROUND(IF(MOD($A33,12)=0,G33,(IF(33=4,0,C32))*(1-$K33)+IF((IF(33=4,0,C32))*(1-$K33)&lt;G33,(G33-(IF(33=4,0,C32))*(1-$K33))*Hypothèses!$B$10,0)),1)</f>
        <v>9.6</v>
      </c>
      <c r="D33">
        <f>ROUND(IF(MOD($A33,12)=0,H33,(IF(33=4,0,D32))*(1-$K33)+IF((IF(33=4,0,D32))*(1-$K33)&lt;H33,(H33-(IF(33=4,0,D32))*(1-$K33))*Hypothèses!$B$10,0)),1)</f>
        <v>33.6</v>
      </c>
      <c r="E33">
        <f>ROUND(IF(MOD($A33,12)=0,I33,(IF(33=4,0,E32))*(1-$K33)+IF((IF(33=4,0,E32))*(1-$K33)&lt;I33,(I33-(IF(33=4,0,E32))*(1-$K33))*Hypothèses!$B$10,0)),1)</f>
        <v>1.2</v>
      </c>
      <c r="F33">
        <f>ROUND(IF(MOD($A33,12)=0,J33,(IF(33=4,0,F32))*(1-$K33)+IF((IF(33=4,0,F32))*(1-$K33)&lt;J33,(J33-(IF(33=4,0,F32))*(1-$K33))*Hypothèses!$B$10,0)),1)</f>
        <v>1</v>
      </c>
      <c r="G33">
        <f>(IF(B33=1,0,IF(B33=2,Hypothèses!$B$26,IF(B33=3,Hypothèses!$C$26,Hypothèses!$D$26)))+(IF(B33=1,Hypothèses!$B$26,IF(B33=2,Hypothèses!$C$26,IF(B33=3,Hypothèses!$D$26,Hypothèses!$D$26)))-(IF(B33=1,0,IF(B33=2,Hypothèses!$B$26,IF(B33=3,Hypothèses!$C$26,Hypothèses!$D$26)))))*((A33)-INT((A33-1)/12)*12)/12)*$B$1</f>
        <v>10.5</v>
      </c>
      <c r="H33">
        <f>(IF(B33=1,0,IF(B33=2,Hypothèses!$B$27,IF(B33=3,Hypothèses!$C$27,Hypothèses!$D$27)))+(IF(B33=1,Hypothèses!$B$27,IF(B33=2,Hypothèses!$C$27,IF(B33=3,Hypothèses!$D$27,Hypothèses!$D$27)))-(IF(B33=1,0,IF(B33=2,Hypothèses!$B$27,IF(B33=3,Hypothèses!$C$27,Hypothèses!$D$27)))))*((A33)-INT((A33-1)/12)*12)/12)*$B$1</f>
        <v>36.75</v>
      </c>
      <c r="I33">
        <f>(IF(B33=1,0,IF(B33=2,Hypothèses!$B$28,IF(B33=3,Hypothèses!$C$28,Hypothèses!$D$28)))+(IF(B33=1,Hypothèses!$B$28,IF(B33=2,Hypothèses!$C$28,IF(B33=3,Hypothèses!$D$28,Hypothèses!$D$28)))-(IF(B33=1,0,IF(B33=2,Hypothèses!$B$28,IF(B33=3,Hypothèses!$C$28,Hypothèses!$D$28)))))*((A33)-INT((A33-1)/12)*12)/12)*$B$1</f>
        <v>1.4</v>
      </c>
      <c r="J33">
        <f>(IF(B33=1,0,IF(B33=2,Hypothèses!$B$29,IF(B33=3,Hypothèses!$C$29,Hypothèses!$D$29)))+(IF(B33=1,Hypothèses!$B$29,IF(B33=2,Hypothèses!$C$29,IF(B33=3,Hypothèses!$D$29,Hypothèses!$D$29)))-(IF(B33=1,0,IF(B33=2,Hypothèses!$B$29,IF(B33=3,Hypothèses!$C$29,Hypothèses!$D$29)))))*((A33)-INT((A33-1)/12)*12)/12)*$B$1</f>
        <v>1.0499999999999998</v>
      </c>
      <c r="K33">
        <f>IF(A33&lt;Hypothèses!$B$7,0,Hypothèses!$B$8*(1-Hypothèses!$B$9)^(A33-Hypothèses!$B$7))</f>
        <v>5.4709494565756238E-3</v>
      </c>
      <c r="L33">
        <f t="shared" si="1"/>
        <v>45.400000000000006</v>
      </c>
      <c r="M33">
        <f>(C33*Hypothèses!$B$11+D33*Hypothèses!$B$12+E33*Hypothèses!$B$13+F33*Hypothèses!$B$14)*(IF(B33=1,Hypothèses!$B$20,IF(B33=2,Hypothèses!$B$21,Hypothèses!$B$22))+(1-(IF(B33=1,Hypothèses!$B$20,IF(B33=2,Hypothèses!$B$21,Hypothèses!$B$22))))*11/12)</f>
        <v>7077.12</v>
      </c>
      <c r="N33">
        <f>L33*IF(B33=1,Hypothèses!$C$20,IF(B33=2,Hypothèses!$C$21,Hypothèses!$C$22))*IF(B33=1,Hypothèses!$D$20,IF(B33=2,Hypothèses!$D$21,Hypothèses!$D$22))</f>
        <v>163.44</v>
      </c>
      <c r="O33">
        <f>IF(A33=18,IF($B$2&gt;=1,Hypothèses!$B$33,0),IF(AND(OR(A33=30,A33=34),$D$2&gt;=1),Hypothèses!$B$34*MIN(1,$D$2/3),0))</f>
        <v>11333.333333333332</v>
      </c>
      <c r="P33">
        <f t="shared" si="2"/>
        <v>18573.893333333333</v>
      </c>
      <c r="Q33">
        <f>P33/(1+Hypothèses!$B$6)</f>
        <v>15478.244444444445</v>
      </c>
      <c r="R33">
        <f>Hypothèses!$B$3*(1+Hypothèses!$B$4)^INT((A33-1)/3)</f>
        <v>1758.9381459599595</v>
      </c>
      <c r="S33">
        <f>0</f>
        <v>0</v>
      </c>
      <c r="T33">
        <f>S33*Hypothèses!$B$17</f>
        <v>0</v>
      </c>
      <c r="U33">
        <f>Q33*Hypothèses!$B$5</f>
        <v>154.78244444444445</v>
      </c>
      <c r="V33">
        <f t="shared" si="3"/>
        <v>13564.523854040041</v>
      </c>
      <c r="W33">
        <f t="shared" si="4"/>
        <v>59262.907580420913</v>
      </c>
    </row>
    <row r="34" spans="1:23" x14ac:dyDescent="0.25">
      <c r="A34">
        <v>31</v>
      </c>
      <c r="B34">
        <f t="shared" si="0"/>
        <v>3</v>
      </c>
      <c r="C34">
        <f>ROUND(IF(MOD($A34,12)=0,G34,(IF(34=4,0,C33))*(1-$K34)+IF((IF(34=4,0,C33))*(1-$K34)&lt;G34,(G34-(IF(34=4,0,C33))*(1-$K34))*Hypothèses!$B$10,0)),1)</f>
        <v>10.199999999999999</v>
      </c>
      <c r="D34">
        <f>ROUND(IF(MOD($A34,12)=0,H34,(IF(34=4,0,D33))*(1-$K34)+IF((IF(34=4,0,D33))*(1-$K34)&lt;H34,(H34-(IF(34=4,0,D33))*(1-$K34))*Hypothèses!$B$10,0)),1)</f>
        <v>35.6</v>
      </c>
      <c r="E34">
        <f>ROUND(IF(MOD($A34,12)=0,I34,(IF(34=4,0,E33))*(1-$K34)+IF((IF(34=4,0,E33))*(1-$K34)&lt;I34,(I34-(IF(34=4,0,E33))*(1-$K34))*Hypothèses!$B$10,0)),1)</f>
        <v>1.3</v>
      </c>
      <c r="F34">
        <f>ROUND(IF(MOD($A34,12)=0,J34,(IF(34=4,0,F33))*(1-$K34)+IF((IF(34=4,0,F33))*(1-$K34)&lt;J34,(J34-(IF(34=4,0,F33))*(1-$K34))*Hypothèses!$B$10,0)),1)</f>
        <v>1</v>
      </c>
      <c r="G34">
        <f>(IF(B34=1,0,IF(B34=2,Hypothèses!$B$26,IF(B34=3,Hypothèses!$C$26,Hypothèses!$D$26)))+(IF(B34=1,Hypothèses!$B$26,IF(B34=2,Hypothèses!$C$26,IF(B34=3,Hypothèses!$D$26,Hypothèses!$D$26)))-(IF(B34=1,0,IF(B34=2,Hypothèses!$B$26,IF(B34=3,Hypothèses!$C$26,Hypothèses!$D$26)))))*((A34)-INT((A34-1)/12)*12)/12)*$B$1</f>
        <v>11.083333333333332</v>
      </c>
      <c r="H34">
        <f>(IF(B34=1,0,IF(B34=2,Hypothèses!$B$27,IF(B34=3,Hypothèses!$C$27,Hypothèses!$D$27)))+(IF(B34=1,Hypothèses!$B$27,IF(B34=2,Hypothèses!$C$27,IF(B34=3,Hypothèses!$D$27,Hypothèses!$D$27)))-(IF(B34=1,0,IF(B34=2,Hypothèses!$B$27,IF(B34=3,Hypothèses!$C$27,Hypothèses!$D$27)))))*((A34)-INT((A34-1)/12)*12)/12)*$B$1</f>
        <v>38.791666666666664</v>
      </c>
      <c r="I34">
        <f>(IF(B34=1,0,IF(B34=2,Hypothèses!$B$28,IF(B34=3,Hypothèses!$C$28,Hypothèses!$D$28)))+(IF(B34=1,Hypothèses!$B$28,IF(B34=2,Hypothèses!$C$28,IF(B34=3,Hypothèses!$D$28,Hypothèses!$D$28)))-(IF(B34=1,0,IF(B34=2,Hypothèses!$B$28,IF(B34=3,Hypothèses!$C$28,Hypothèses!$D$28)))))*((A34)-INT((A34-1)/12)*12)/12)*$B$1</f>
        <v>1.5166666666666668</v>
      </c>
      <c r="J34">
        <f>(IF(B34=1,0,IF(B34=2,Hypothèses!$B$29,IF(B34=3,Hypothèses!$C$29,Hypothèses!$D$29)))+(IF(B34=1,Hypothèses!$B$29,IF(B34=2,Hypothèses!$C$29,IF(B34=3,Hypothèses!$D$29,Hypothèses!$D$29)))-(IF(B34=1,0,IF(B34=2,Hypothèses!$B$29,IF(B34=3,Hypothèses!$C$29,Hypothèses!$D$29)))))*((A34)-INT((A34-1)/12)*12)/12)*$B$1</f>
        <v>1.1083333333333334</v>
      </c>
      <c r="K34">
        <f>IF(A34&lt;Hypothèses!$B$7,0,Hypothèses!$B$8*(1-Hypothèses!$B$9)^(A34-Hypothèses!$B$7))</f>
        <v>4.9238545109180623E-3</v>
      </c>
      <c r="L34">
        <f t="shared" si="1"/>
        <v>48.099999999999994</v>
      </c>
      <c r="M34">
        <f>(C34*Hypothèses!$B$11+D34*Hypothèses!$B$12+E34*Hypothèses!$B$13+F34*Hypothèses!$B$14)*(IF(B34=1,Hypothèses!$B$20,IF(B34=2,Hypothèses!$B$21,Hypothèses!$B$22))+(1-(IF(B34=1,Hypothèses!$B$20,IF(B34=2,Hypothèses!$B$21,Hypothèses!$B$22))))*11/12)</f>
        <v>7458.3550000000005</v>
      </c>
      <c r="N34">
        <f>L34*IF(B34=1,Hypothèses!$C$20,IF(B34=2,Hypothèses!$C$21,Hypothèses!$C$22))*IF(B34=1,Hypothèses!$D$20,IF(B34=2,Hypothèses!$D$21,Hypothèses!$D$22))</f>
        <v>173.15999999999997</v>
      </c>
      <c r="O34">
        <f>IF(A34=18,IF($B$2&gt;=1,Hypothèses!$B$33,0),IF(AND(OR(A34=30,A34=34),$D$2&gt;=1),Hypothèses!$B$34*MIN(1,$D$2/3),0))</f>
        <v>0</v>
      </c>
      <c r="P34">
        <f t="shared" si="2"/>
        <v>7631.5150000000003</v>
      </c>
      <c r="Q34">
        <f>P34/(1+Hypothèses!$B$6)</f>
        <v>6359.5958333333338</v>
      </c>
      <c r="R34">
        <f>Hypothèses!$B$3*(1+Hypothèses!$B$4)^INT((A34-1)/3)</f>
        <v>2022.7788678539534</v>
      </c>
      <c r="S34">
        <f>0</f>
        <v>0</v>
      </c>
      <c r="T34">
        <f>S34*Hypothèses!$B$17</f>
        <v>0</v>
      </c>
      <c r="U34">
        <f>Q34*Hypothèses!$B$5</f>
        <v>63.595958333333336</v>
      </c>
      <c r="V34">
        <f t="shared" si="3"/>
        <v>4273.2210071460468</v>
      </c>
      <c r="W34">
        <f t="shared" si="4"/>
        <v>63536.128587566956</v>
      </c>
    </row>
    <row r="35" spans="1:23" x14ac:dyDescent="0.25">
      <c r="A35">
        <v>32</v>
      </c>
      <c r="B35">
        <f t="shared" si="0"/>
        <v>3</v>
      </c>
      <c r="C35">
        <f>ROUND(IF(MOD($A35,12)=0,G35,(IF(35=4,0,C34))*(1-$K35)+IF((IF(35=4,0,C34))*(1-$K35)&lt;G35,(G35-(IF(35=4,0,C34))*(1-$K35))*Hypothèses!$B$10,0)),1)</f>
        <v>10.8</v>
      </c>
      <c r="D35">
        <f>ROUND(IF(MOD($A35,12)=0,H35,(IF(35=4,0,D34))*(1-$K35)+IF((IF(35=4,0,D34))*(1-$K35)&lt;H35,(H35-(IF(35=4,0,D34))*(1-$K35))*Hypothèses!$B$10,0)),1)</f>
        <v>37.6</v>
      </c>
      <c r="E35">
        <f>ROUND(IF(MOD($A35,12)=0,I35,(IF(35=4,0,E34))*(1-$K35)+IF((IF(35=4,0,E34))*(1-$K35)&lt;I35,(I35-(IF(35=4,0,E34))*(1-$K35))*Hypothèses!$B$10,0)),1)</f>
        <v>1.4</v>
      </c>
      <c r="F35">
        <f>ROUND(IF(MOD($A35,12)=0,J35,(IF(35=4,0,F34))*(1-$K35)+IF((IF(35=4,0,F34))*(1-$K35)&lt;J35,(J35-(IF(35=4,0,F34))*(1-$K35))*Hypothèses!$B$10,0)),1)</f>
        <v>1.1000000000000001</v>
      </c>
      <c r="G35">
        <f>(IF(B35=1,0,IF(B35=2,Hypothèses!$B$26,IF(B35=3,Hypothèses!$C$26,Hypothèses!$D$26)))+(IF(B35=1,Hypothèses!$B$26,IF(B35=2,Hypothèses!$C$26,IF(B35=3,Hypothèses!$D$26,Hypothèses!$D$26)))-(IF(B35=1,0,IF(B35=2,Hypothèses!$B$26,IF(B35=3,Hypothèses!$C$26,Hypothèses!$D$26)))))*((A35)-INT((A35-1)/12)*12)/12)*$B$1</f>
        <v>11.666666666666666</v>
      </c>
      <c r="H35">
        <f>(IF(B35=1,0,IF(B35=2,Hypothèses!$B$27,IF(B35=3,Hypothèses!$C$27,Hypothèses!$D$27)))+(IF(B35=1,Hypothèses!$B$27,IF(B35=2,Hypothèses!$C$27,IF(B35=3,Hypothèses!$D$27,Hypothèses!$D$27)))-(IF(B35=1,0,IF(B35=2,Hypothèses!$B$27,IF(B35=3,Hypothèses!$C$27,Hypothèses!$D$27)))))*((A35)-INT((A35-1)/12)*12)/12)*$B$1</f>
        <v>40.833333333333329</v>
      </c>
      <c r="I35">
        <f>(IF(B35=1,0,IF(B35=2,Hypothèses!$B$28,IF(B35=3,Hypothèses!$C$28,Hypothèses!$D$28)))+(IF(B35=1,Hypothèses!$B$28,IF(B35=2,Hypothèses!$C$28,IF(B35=3,Hypothèses!$D$28,Hypothèses!$D$28)))-(IF(B35=1,0,IF(B35=2,Hypothèses!$B$28,IF(B35=3,Hypothèses!$C$28,Hypothèses!$D$28)))))*((A35)-INT((A35-1)/12)*12)/12)*$B$1</f>
        <v>1.6333333333333331</v>
      </c>
      <c r="J35">
        <f>(IF(B35=1,0,IF(B35=2,Hypothèses!$B$29,IF(B35=3,Hypothèses!$C$29,Hypothèses!$D$29)))+(IF(B35=1,Hypothèses!$B$29,IF(B35=2,Hypothèses!$C$29,IF(B35=3,Hypothèses!$D$29,Hypothèses!$D$29)))-(IF(B35=1,0,IF(B35=2,Hypothèses!$B$29,IF(B35=3,Hypothèses!$C$29,Hypothèses!$D$29)))))*((A35)-INT((A35-1)/12)*12)/12)*$B$1</f>
        <v>1.1666666666666665</v>
      </c>
      <c r="K35">
        <f>IF(A35&lt;Hypothèses!$B$7,0,Hypothèses!$B$8*(1-Hypothèses!$B$9)^(A35-Hypothèses!$B$7))</f>
        <v>4.4314690598262554E-3</v>
      </c>
      <c r="L35">
        <f t="shared" si="1"/>
        <v>50.900000000000006</v>
      </c>
      <c r="M35">
        <f>(C35*Hypothèses!$B$11+D35*Hypothèses!$B$12+E35*Hypothèses!$B$13+F35*Hypothèses!$B$14)*(IF(B35=1,Hypothèses!$B$20,IF(B35=2,Hypothèses!$B$21,Hypothèses!$B$22))+(1-(IF(B35=1,Hypothèses!$B$20,IF(B35=2,Hypothèses!$B$21,Hypothèses!$B$22))))*11/12)</f>
        <v>7933.64</v>
      </c>
      <c r="N35">
        <f>L35*IF(B35=1,Hypothèses!$C$20,IF(B35=2,Hypothèses!$C$21,Hypothèses!$C$22))*IF(B35=1,Hypothèses!$D$20,IF(B35=2,Hypothèses!$D$21,Hypothèses!$D$22))</f>
        <v>183.24</v>
      </c>
      <c r="O35">
        <f>IF(A35=18,IF($B$2&gt;=1,Hypothèses!$B$33,0),IF(AND(OR(A35=30,A35=34),$D$2&gt;=1),Hypothèses!$B$34*MIN(1,$D$2/3),0))</f>
        <v>0</v>
      </c>
      <c r="P35">
        <f t="shared" si="2"/>
        <v>8116.88</v>
      </c>
      <c r="Q35">
        <f>P35/(1+Hypothèses!$B$6)</f>
        <v>6764.0666666666666</v>
      </c>
      <c r="R35">
        <f>Hypothèses!$B$3*(1+Hypothèses!$B$4)^INT((A35-1)/3)</f>
        <v>2022.7788678539534</v>
      </c>
      <c r="S35">
        <f>0</f>
        <v>0</v>
      </c>
      <c r="T35">
        <f>S35*Hypothèses!$B$17</f>
        <v>0</v>
      </c>
      <c r="U35">
        <f>Q35*Hypothèses!$B$5</f>
        <v>67.640666666666661</v>
      </c>
      <c r="V35">
        <f t="shared" si="3"/>
        <v>4673.6471321460467</v>
      </c>
      <c r="W35">
        <f t="shared" si="4"/>
        <v>68209.775719712998</v>
      </c>
    </row>
    <row r="36" spans="1:23" x14ac:dyDescent="0.25">
      <c r="A36">
        <v>33</v>
      </c>
      <c r="B36">
        <f t="shared" si="0"/>
        <v>3</v>
      </c>
      <c r="C36">
        <f>ROUND(IF(MOD($A36,12)=0,G36,(IF(36=4,0,C35))*(1-$K36)+IF((IF(36=4,0,C35))*(1-$K36)&lt;G36,(G36-(IF(36=4,0,C35))*(1-$K36))*Hypothèses!$B$10,0)),1)</f>
        <v>11.4</v>
      </c>
      <c r="D36">
        <f>ROUND(IF(MOD($A36,12)=0,H36,(IF(36=4,0,D35))*(1-$K36)+IF((IF(36=4,0,D35))*(1-$K36)&lt;H36,(H36-(IF(36=4,0,D35))*(1-$K36))*Hypothèses!$B$10,0)),1)</f>
        <v>39.6</v>
      </c>
      <c r="E36">
        <f>ROUND(IF(MOD($A36,12)=0,I36,(IF(36=4,0,E35))*(1-$K36)+IF((IF(36=4,0,E35))*(1-$K36)&lt;I36,(I36-(IF(36=4,0,E35))*(1-$K36))*Hypothèses!$B$10,0)),1)</f>
        <v>1.5</v>
      </c>
      <c r="F36">
        <f>ROUND(IF(MOD($A36,12)=0,J36,(IF(36=4,0,F35))*(1-$K36)+IF((IF(36=4,0,F35))*(1-$K36)&lt;J36,(J36-(IF(36=4,0,F35))*(1-$K36))*Hypothèses!$B$10,0)),1)</f>
        <v>1.1000000000000001</v>
      </c>
      <c r="G36">
        <f>(IF(B36=1,0,IF(B36=2,Hypothèses!$B$26,IF(B36=3,Hypothèses!$C$26,Hypothèses!$D$26)))+(IF(B36=1,Hypothèses!$B$26,IF(B36=2,Hypothèses!$C$26,IF(B36=3,Hypothèses!$D$26,Hypothèses!$D$26)))-(IF(B36=1,0,IF(B36=2,Hypothèses!$B$26,IF(B36=3,Hypothèses!$C$26,Hypothèses!$D$26)))))*((A36)-INT((A36-1)/12)*12)/12)*$B$1</f>
        <v>12.25</v>
      </c>
      <c r="H36">
        <f>(IF(B36=1,0,IF(B36=2,Hypothèses!$B$27,IF(B36=3,Hypothèses!$C$27,Hypothèses!$D$27)))+(IF(B36=1,Hypothèses!$B$27,IF(B36=2,Hypothèses!$C$27,IF(B36=3,Hypothèses!$D$27,Hypothèses!$D$27)))-(IF(B36=1,0,IF(B36=2,Hypothèses!$B$27,IF(B36=3,Hypothèses!$C$27,Hypothèses!$D$27)))))*((A36)-INT((A36-1)/12)*12)/12)*$B$1</f>
        <v>42.875</v>
      </c>
      <c r="I36">
        <f>(IF(B36=1,0,IF(B36=2,Hypothèses!$B$28,IF(B36=3,Hypothèses!$C$28,Hypothèses!$D$28)))+(IF(B36=1,Hypothèses!$B$28,IF(B36=2,Hypothèses!$C$28,IF(B36=3,Hypothèses!$D$28,Hypothèses!$D$28)))-(IF(B36=1,0,IF(B36=2,Hypothèses!$B$28,IF(B36=3,Hypothèses!$C$28,Hypothèses!$D$28)))))*((A36)-INT((A36-1)/12)*12)/12)*$B$1</f>
        <v>1.75</v>
      </c>
      <c r="J36">
        <f>(IF(B36=1,0,IF(B36=2,Hypothèses!$B$29,IF(B36=3,Hypothèses!$C$29,Hypothèses!$D$29)))+(IF(B36=1,Hypothèses!$B$29,IF(B36=2,Hypothèses!$C$29,IF(B36=3,Hypothèses!$D$29,Hypothèses!$D$29)))-(IF(B36=1,0,IF(B36=2,Hypothèses!$B$29,IF(B36=3,Hypothèses!$C$29,Hypothèses!$D$29)))))*((A36)-INT((A36-1)/12)*12)/12)*$B$1</f>
        <v>1.2249999999999999</v>
      </c>
      <c r="K36">
        <f>IF(A36&lt;Hypothèses!$B$7,0,Hypothèses!$B$8*(1-Hypothèses!$B$9)^(A36-Hypothèses!$B$7))</f>
        <v>3.9883221538436304E-3</v>
      </c>
      <c r="L36">
        <f t="shared" si="1"/>
        <v>53.6</v>
      </c>
      <c r="M36">
        <f>(C36*Hypothèses!$B$11+D36*Hypothèses!$B$12+E36*Hypothèses!$B$13+F36*Hypothèses!$B$14)*(IF(B36=1,Hypothèses!$B$20,IF(B36=2,Hypothèses!$B$21,Hypothèses!$B$22))+(1-(IF(B36=1,Hypothèses!$B$20,IF(B36=2,Hypothèses!$B$21,Hypothèses!$B$22))))*11/12)</f>
        <v>8314.875</v>
      </c>
      <c r="N36">
        <f>L36*IF(B36=1,Hypothèses!$C$20,IF(B36=2,Hypothèses!$C$21,Hypothèses!$C$22))*IF(B36=1,Hypothèses!$D$20,IF(B36=2,Hypothèses!$D$21,Hypothèses!$D$22))</f>
        <v>192.95999999999998</v>
      </c>
      <c r="O36">
        <f>IF(A36=18,IF($B$2&gt;=1,Hypothèses!$B$33,0),IF(AND(OR(A36=30,A36=34),$D$2&gt;=1),Hypothèses!$B$34*MIN(1,$D$2/3),0))</f>
        <v>0</v>
      </c>
      <c r="P36">
        <f t="shared" si="2"/>
        <v>8507.8349999999991</v>
      </c>
      <c r="Q36">
        <f>P36/(1+Hypothèses!$B$6)</f>
        <v>7089.8624999999993</v>
      </c>
      <c r="R36">
        <f>Hypothèses!$B$3*(1+Hypothèses!$B$4)^INT((A36-1)/3)</f>
        <v>2022.7788678539534</v>
      </c>
      <c r="S36">
        <f>0</f>
        <v>0</v>
      </c>
      <c r="T36">
        <f>S36*Hypothèses!$B$17</f>
        <v>0</v>
      </c>
      <c r="U36">
        <f>Q36*Hypothèses!$B$5</f>
        <v>70.898624999999996</v>
      </c>
      <c r="V36">
        <f t="shared" si="3"/>
        <v>4996.1850071460458</v>
      </c>
      <c r="W36">
        <f t="shared" si="4"/>
        <v>73205.960726859048</v>
      </c>
    </row>
    <row r="37" spans="1:23" x14ac:dyDescent="0.25">
      <c r="A37">
        <v>34</v>
      </c>
      <c r="B37">
        <f t="shared" si="0"/>
        <v>3</v>
      </c>
      <c r="C37">
        <f>ROUND(IF(MOD($A37,12)=0,G37,(IF(37=4,0,C36))*(1-$K37)+IF((IF(37=4,0,C36))*(1-$K37)&lt;G37,(G37-(IF(37=4,0,C36))*(1-$K37))*Hypothèses!$B$10,0)),1)</f>
        <v>11.9</v>
      </c>
      <c r="D37">
        <f>ROUND(IF(MOD($A37,12)=0,H37,(IF(37=4,0,D36))*(1-$K37)+IF((IF(37=4,0,D36))*(1-$K37)&lt;H37,(H37-(IF(37=4,0,D36))*(1-$K37))*Hypothèses!$B$10,0)),1)</f>
        <v>41.6</v>
      </c>
      <c r="E37">
        <f>ROUND(IF(MOD($A37,12)=0,I37,(IF(37=4,0,E36))*(1-$K37)+IF((IF(37=4,0,E36))*(1-$K37)&lt;I37,(I37-(IF(37=4,0,E36))*(1-$K37))*Hypothèses!$B$10,0)),1)</f>
        <v>1.6</v>
      </c>
      <c r="F37">
        <f>ROUND(IF(MOD($A37,12)=0,J37,(IF(37=4,0,F36))*(1-$K37)+IF((IF(37=4,0,F36))*(1-$K37)&lt;J37,(J37-(IF(37=4,0,F36))*(1-$K37))*Hypothèses!$B$10,0)),1)</f>
        <v>1.2</v>
      </c>
      <c r="G37">
        <f>(IF(B37=1,0,IF(B37=2,Hypothèses!$B$26,IF(B37=3,Hypothèses!$C$26,Hypothèses!$D$26)))+(IF(B37=1,Hypothèses!$B$26,IF(B37=2,Hypothèses!$C$26,IF(B37=3,Hypothèses!$D$26,Hypothèses!$D$26)))-(IF(B37=1,0,IF(B37=2,Hypothèses!$B$26,IF(B37=3,Hypothèses!$C$26,Hypothèses!$D$26)))))*((A37)-INT((A37-1)/12)*12)/12)*$B$1</f>
        <v>12.833333333333334</v>
      </c>
      <c r="H37">
        <f>(IF(B37=1,0,IF(B37=2,Hypothèses!$B$27,IF(B37=3,Hypothèses!$C$27,Hypothèses!$D$27)))+(IF(B37=1,Hypothèses!$B$27,IF(B37=2,Hypothèses!$C$27,IF(B37=3,Hypothèses!$D$27,Hypothèses!$D$27)))-(IF(B37=1,0,IF(B37=2,Hypothèses!$B$27,IF(B37=3,Hypothèses!$C$27,Hypothèses!$D$27)))))*((A37)-INT((A37-1)/12)*12)/12)*$B$1</f>
        <v>44.916666666666664</v>
      </c>
      <c r="I37">
        <f>(IF(B37=1,0,IF(B37=2,Hypothèses!$B$28,IF(B37=3,Hypothèses!$C$28,Hypothèses!$D$28)))+(IF(B37=1,Hypothèses!$B$28,IF(B37=2,Hypothèses!$C$28,IF(B37=3,Hypothèses!$D$28,Hypothèses!$D$28)))-(IF(B37=1,0,IF(B37=2,Hypothèses!$B$28,IF(B37=3,Hypothèses!$C$28,Hypothèses!$D$28)))))*((A37)-INT((A37-1)/12)*12)/12)*$B$1</f>
        <v>1.8666666666666667</v>
      </c>
      <c r="J37">
        <f>(IF(B37=1,0,IF(B37=2,Hypothèses!$B$29,IF(B37=3,Hypothèses!$C$29,Hypothèses!$D$29)))+(IF(B37=1,Hypothèses!$B$29,IF(B37=2,Hypothèses!$C$29,IF(B37=3,Hypothèses!$D$29,Hypothèses!$D$29)))-(IF(B37=1,0,IF(B37=2,Hypothèses!$B$29,IF(B37=3,Hypothèses!$C$29,Hypothèses!$D$29)))))*((A37)-INT((A37-1)/12)*12)/12)*$B$1</f>
        <v>1.2833333333333334</v>
      </c>
      <c r="K37">
        <f>IF(A37&lt;Hypothèses!$B$7,0,Hypothèses!$B$8*(1-Hypothèses!$B$9)^(A37-Hypothèses!$B$7))</f>
        <v>3.5894899384592673E-3</v>
      </c>
      <c r="L37">
        <f t="shared" si="1"/>
        <v>56.300000000000004</v>
      </c>
      <c r="M37">
        <f>(C37*Hypothèses!$B$11+D37*Hypothèses!$B$12+E37*Hypothèses!$B$13+F37*Hypothèses!$B$14)*(IF(B37=1,Hypothèses!$B$20,IF(B37=2,Hypothèses!$B$21,Hypothèses!$B$22))+(1-(IF(B37=1,Hypothèses!$B$20,IF(B37=2,Hypothèses!$B$21,Hypothèses!$B$22))))*11/12)</f>
        <v>8781.7050000000017</v>
      </c>
      <c r="N37">
        <f>L37*IF(B37=1,Hypothèses!$C$20,IF(B37=2,Hypothèses!$C$21,Hypothèses!$C$22))*IF(B37=1,Hypothèses!$D$20,IF(B37=2,Hypothèses!$D$21,Hypothèses!$D$22))</f>
        <v>202.68</v>
      </c>
      <c r="O37">
        <f>IF(A37=18,IF($B$2&gt;=1,Hypothèses!$B$33,0),IF(AND(OR(A37=30,A37=34),$D$2&gt;=1),Hypothèses!$B$34*MIN(1,$D$2/3),0))</f>
        <v>11333.333333333332</v>
      </c>
      <c r="P37">
        <f t="shared" si="2"/>
        <v>20317.718333333334</v>
      </c>
      <c r="Q37">
        <f>P37/(1+Hypothèses!$B$6)</f>
        <v>16931.431944444445</v>
      </c>
      <c r="R37">
        <f>Hypothèses!$B$3*(1+Hypothèses!$B$4)^INT((A37-1)/3)</f>
        <v>2326.195698032046</v>
      </c>
      <c r="S37">
        <f>0</f>
        <v>0</v>
      </c>
      <c r="T37">
        <f>S37*Hypothèses!$B$17</f>
        <v>0</v>
      </c>
      <c r="U37">
        <f>Q37*Hypothèses!$B$5</f>
        <v>169.31431944444444</v>
      </c>
      <c r="V37">
        <f t="shared" si="3"/>
        <v>14435.921926967954</v>
      </c>
      <c r="W37">
        <f t="shared" si="4"/>
        <v>87641.882653827008</v>
      </c>
    </row>
    <row r="38" spans="1:23" x14ac:dyDescent="0.25">
      <c r="A38">
        <v>35</v>
      </c>
      <c r="B38">
        <f t="shared" si="0"/>
        <v>3</v>
      </c>
      <c r="C38">
        <f>ROUND(IF(MOD($A38,12)=0,G38,(IF(38=4,0,C37))*(1-$K38)+IF((IF(38=4,0,C37))*(1-$K38)&lt;G38,(G38-(IF(38=4,0,C37))*(1-$K38))*Hypothèses!$B$10,0)),1)</f>
        <v>12.5</v>
      </c>
      <c r="D38">
        <f>ROUND(IF(MOD($A38,12)=0,H38,(IF(38=4,0,D37))*(1-$K38)+IF((IF(38=4,0,D37))*(1-$K38)&lt;H38,(H38-(IF(38=4,0,D37))*(1-$K38))*Hypothèses!$B$10,0)),1)</f>
        <v>43.7</v>
      </c>
      <c r="E38">
        <f>ROUND(IF(MOD($A38,12)=0,I38,(IF(38=4,0,E37))*(1-$K38)+IF((IF(38=4,0,E37))*(1-$K38)&lt;I38,(I38-(IF(38=4,0,E37))*(1-$K38))*Hypothèses!$B$10,0)),1)</f>
        <v>1.8</v>
      </c>
      <c r="F38">
        <f>ROUND(IF(MOD($A38,12)=0,J38,(IF(38=4,0,F37))*(1-$K38)+IF((IF(38=4,0,F37))*(1-$K38)&lt;J38,(J38-(IF(38=4,0,F37))*(1-$K38))*Hypothèses!$B$10,0)),1)</f>
        <v>1.3</v>
      </c>
      <c r="G38">
        <f>(IF(B38=1,0,IF(B38=2,Hypothèses!$B$26,IF(B38=3,Hypothèses!$C$26,Hypothèses!$D$26)))+(IF(B38=1,Hypothèses!$B$26,IF(B38=2,Hypothèses!$C$26,IF(B38=3,Hypothèses!$D$26,Hypothèses!$D$26)))-(IF(B38=1,0,IF(B38=2,Hypothèses!$B$26,IF(B38=3,Hypothèses!$C$26,Hypothèses!$D$26)))))*((A38)-INT((A38-1)/12)*12)/12)*$B$1</f>
        <v>13.416666666666664</v>
      </c>
      <c r="H38">
        <f>(IF(B38=1,0,IF(B38=2,Hypothèses!$B$27,IF(B38=3,Hypothèses!$C$27,Hypothèses!$D$27)))+(IF(B38=1,Hypothèses!$B$27,IF(B38=2,Hypothèses!$C$27,IF(B38=3,Hypothèses!$D$27,Hypothèses!$D$27)))-(IF(B38=1,0,IF(B38=2,Hypothèses!$B$27,IF(B38=3,Hypothèses!$C$27,Hypothèses!$D$27)))))*((A38)-INT((A38-1)/12)*12)/12)*$B$1</f>
        <v>46.958333333333336</v>
      </c>
      <c r="I38">
        <f>(IF(B38=1,0,IF(B38=2,Hypothèses!$B$28,IF(B38=3,Hypothèses!$C$28,Hypothèses!$D$28)))+(IF(B38=1,Hypothèses!$B$28,IF(B38=2,Hypothèses!$C$28,IF(B38=3,Hypothèses!$D$28,Hypothèses!$D$28)))-(IF(B38=1,0,IF(B38=2,Hypothèses!$B$28,IF(B38=3,Hypothèses!$C$28,Hypothèses!$D$28)))))*((A38)-INT((A38-1)/12)*12)/12)*$B$1</f>
        <v>1.9833333333333329</v>
      </c>
      <c r="J38">
        <f>(IF(B38=1,0,IF(B38=2,Hypothèses!$B$29,IF(B38=3,Hypothèses!$C$29,Hypothèses!$D$29)))+(IF(B38=1,Hypothèses!$B$29,IF(B38=2,Hypothèses!$C$29,IF(B38=3,Hypothèses!$D$29,Hypothèses!$D$29)))-(IF(B38=1,0,IF(B38=2,Hypothèses!$B$29,IF(B38=3,Hypothèses!$C$29,Hypothèses!$D$29)))))*((A38)-INT((A38-1)/12)*12)/12)*$B$1</f>
        <v>1.3416666666666666</v>
      </c>
      <c r="K38">
        <f>IF(A38&lt;Hypothèses!$B$7,0,Hypothèses!$B$8*(1-Hypothèses!$B$9)^(A38-Hypothèses!$B$7))</f>
        <v>3.2305409446133412E-3</v>
      </c>
      <c r="L38">
        <f t="shared" si="1"/>
        <v>59.3</v>
      </c>
      <c r="M38">
        <f>(C38*Hypothèses!$B$11+D38*Hypothèses!$B$12+E38*Hypothèses!$B$13+F38*Hypothèses!$B$14)*(IF(B38=1,Hypothèses!$B$20,IF(B38=2,Hypothèses!$B$21,Hypothèses!$B$22))+(1-(IF(B38=1,Hypothèses!$B$20,IF(B38=2,Hypothèses!$B$21,Hypothèses!$B$22))))*11/12)</f>
        <v>9318.5499999999993</v>
      </c>
      <c r="N38">
        <f>L38*IF(B38=1,Hypothèses!$C$20,IF(B38=2,Hypothèses!$C$21,Hypothèses!$C$22))*IF(B38=1,Hypothèses!$D$20,IF(B38=2,Hypothèses!$D$21,Hypothèses!$D$22))</f>
        <v>213.48</v>
      </c>
      <c r="O38">
        <f>IF(A38=18,IF($B$2&gt;=1,Hypothèses!$B$33,0),IF(AND(OR(A38=30,A38=34),$D$2&gt;=1),Hypothèses!$B$34*MIN(1,$D$2/3),0))</f>
        <v>0</v>
      </c>
      <c r="P38">
        <f t="shared" si="2"/>
        <v>9532.0299999999988</v>
      </c>
      <c r="Q38">
        <f>P38/(1+Hypothèses!$B$6)</f>
        <v>7943.3583333333327</v>
      </c>
      <c r="R38">
        <f>Hypothèses!$B$3*(1+Hypothèses!$B$4)^INT((A38-1)/3)</f>
        <v>2326.195698032046</v>
      </c>
      <c r="S38">
        <f>0</f>
        <v>0</v>
      </c>
      <c r="T38">
        <f>S38*Hypothèses!$B$17</f>
        <v>0</v>
      </c>
      <c r="U38">
        <f>Q38*Hypothèses!$B$5</f>
        <v>79.433583333333331</v>
      </c>
      <c r="V38">
        <f t="shared" si="3"/>
        <v>5537.7290519679536</v>
      </c>
      <c r="W38">
        <f t="shared" si="4"/>
        <v>93179.61170579496</v>
      </c>
    </row>
    <row r="39" spans="1:23" x14ac:dyDescent="0.25">
      <c r="A39">
        <v>36</v>
      </c>
      <c r="B39">
        <f t="shared" si="0"/>
        <v>3</v>
      </c>
      <c r="C39">
        <f>ROUND(IF(MOD($A39,12)=0,G39,(IF(39=4,0,C38))*(1-$K39)+IF((IF(39=4,0,C38))*(1-$K39)&lt;G39,(G39-(IF(39=4,0,C38))*(1-$K39))*Hypothèses!$B$10,0)),1)</f>
        <v>14</v>
      </c>
      <c r="D39">
        <f>ROUND(IF(MOD($A39,12)=0,H39,(IF(39=4,0,D38))*(1-$K39)+IF((IF(39=4,0,D38))*(1-$K39)&lt;H39,(H39-(IF(39=4,0,D38))*(1-$K39))*Hypothèses!$B$10,0)),1)</f>
        <v>49</v>
      </c>
      <c r="E39">
        <f>ROUND(IF(MOD($A39,12)=0,I39,(IF(39=4,0,E38))*(1-$K39)+IF((IF(39=4,0,E38))*(1-$K39)&lt;I39,(I39-(IF(39=4,0,E38))*(1-$K39))*Hypothèses!$B$10,0)),1)</f>
        <v>2.1</v>
      </c>
      <c r="F39">
        <f>ROUND(IF(MOD($A39,12)=0,J39,(IF(39=4,0,F38))*(1-$K39)+IF((IF(39=4,0,F38))*(1-$K39)&lt;J39,(J39-(IF(39=4,0,F38))*(1-$K39))*Hypothèses!$B$10,0)),1)</f>
        <v>1.4</v>
      </c>
      <c r="G39">
        <f>(IF(B39=1,0,IF(B39=2,Hypothèses!$B$26,IF(B39=3,Hypothèses!$C$26,Hypothèses!$D$26)))+(IF(B39=1,Hypothèses!$B$26,IF(B39=2,Hypothèses!$C$26,IF(B39=3,Hypothèses!$D$26,Hypothèses!$D$26)))-(IF(B39=1,0,IF(B39=2,Hypothèses!$B$26,IF(B39=3,Hypothèses!$C$26,Hypothèses!$D$26)))))*((A39)-INT((A39-1)/12)*12)/12)*$B$1</f>
        <v>14</v>
      </c>
      <c r="H39">
        <f>(IF(B39=1,0,IF(B39=2,Hypothèses!$B$27,IF(B39=3,Hypothèses!$C$27,Hypothèses!$D$27)))+(IF(B39=1,Hypothèses!$B$27,IF(B39=2,Hypothèses!$C$27,IF(B39=3,Hypothèses!$D$27,Hypothèses!$D$27)))-(IF(B39=1,0,IF(B39=2,Hypothèses!$B$27,IF(B39=3,Hypothèses!$C$27,Hypothèses!$D$27)))))*((A39)-INT((A39-1)/12)*12)/12)*$B$1</f>
        <v>49</v>
      </c>
      <c r="I39">
        <f>(IF(B39=1,0,IF(B39=2,Hypothèses!$B$28,IF(B39=3,Hypothèses!$C$28,Hypothèses!$D$28)))+(IF(B39=1,Hypothèses!$B$28,IF(B39=2,Hypothèses!$C$28,IF(B39=3,Hypothèses!$D$28,Hypothèses!$D$28)))-(IF(B39=1,0,IF(B39=2,Hypothèses!$B$28,IF(B39=3,Hypothèses!$C$28,Hypothèses!$D$28)))))*((A39)-INT((A39-1)/12)*12)/12)*$B$1</f>
        <v>2.0999999999999996</v>
      </c>
      <c r="J39">
        <f>(IF(B39=1,0,IF(B39=2,Hypothèses!$B$29,IF(B39=3,Hypothèses!$C$29,Hypothèses!$D$29)))+(IF(B39=1,Hypothèses!$B$29,IF(B39=2,Hypothèses!$C$29,IF(B39=3,Hypothèses!$D$29,Hypothèses!$D$29)))-(IF(B39=1,0,IF(B39=2,Hypothèses!$B$29,IF(B39=3,Hypothèses!$C$29,Hypothèses!$D$29)))))*((A39)-INT((A39-1)/12)*12)/12)*$B$1</f>
        <v>1.4</v>
      </c>
      <c r="K39">
        <f>IF(A39&lt;Hypothèses!$B$7,0,Hypothèses!$B$8*(1-Hypothèses!$B$9)^(A39-Hypothèses!$B$7))</f>
        <v>2.9074868501520069E-3</v>
      </c>
      <c r="L39">
        <f t="shared" si="1"/>
        <v>66.5</v>
      </c>
      <c r="M39">
        <f>(C39*Hypothèses!$B$11+D39*Hypothèses!$B$12+E39*Hypothèses!$B$13+F39*Hypothèses!$B$14)*(IF(B39=1,Hypothèses!$B$20,IF(B39=2,Hypothèses!$B$21,Hypothèses!$B$22))+(1-(IF(B39=1,Hypothèses!$B$20,IF(B39=2,Hypothèses!$B$21,Hypothèses!$B$22))))*11/12)</f>
        <v>10431.855</v>
      </c>
      <c r="N39">
        <f>L39*IF(B39=1,Hypothèses!$C$20,IF(B39=2,Hypothèses!$C$21,Hypothèses!$C$22))*IF(B39=1,Hypothèses!$D$20,IF(B39=2,Hypothèses!$D$21,Hypothèses!$D$22))</f>
        <v>239.39999999999998</v>
      </c>
      <c r="O39">
        <f>IF(A39=18,IF($B$2&gt;=1,Hypothèses!$B$33,0),IF(AND(OR(A39=30,A39=34),$D$2&gt;=1),Hypothèses!$B$34*MIN(1,$D$2/3),0))</f>
        <v>0</v>
      </c>
      <c r="P39">
        <f t="shared" si="2"/>
        <v>10671.254999999999</v>
      </c>
      <c r="Q39">
        <f>P39/(1+Hypothèses!$B$6)</f>
        <v>8892.7124999999996</v>
      </c>
      <c r="R39">
        <f>Hypothèses!$B$3*(1+Hypothèses!$B$4)^INT((A39-1)/3)</f>
        <v>2326.195698032046</v>
      </c>
      <c r="S39">
        <f>0</f>
        <v>0</v>
      </c>
      <c r="T39">
        <f>S39*Hypothèses!$B$17</f>
        <v>0</v>
      </c>
      <c r="U39">
        <f>Q39*Hypothèses!$B$5</f>
        <v>88.927125000000004</v>
      </c>
      <c r="V39">
        <f t="shared" si="3"/>
        <v>6477.589676967953</v>
      </c>
      <c r="W39">
        <f t="shared" si="4"/>
        <v>99657.201382762913</v>
      </c>
    </row>
    <row r="41" spans="1:23" ht="15.75" x14ac:dyDescent="0.25">
      <c r="A41" s="2" t="s">
        <v>60</v>
      </c>
    </row>
    <row r="42" spans="1:23" x14ac:dyDescent="0.25">
      <c r="A42" t="s">
        <v>41</v>
      </c>
      <c r="B42" t="s">
        <v>53</v>
      </c>
      <c r="C42" t="s">
        <v>58</v>
      </c>
      <c r="D42" t="s">
        <v>61</v>
      </c>
      <c r="E42" t="s">
        <v>62</v>
      </c>
    </row>
    <row r="43" spans="1:23" x14ac:dyDescent="0.25">
      <c r="A43" t="s">
        <v>19</v>
      </c>
      <c r="B43">
        <f>SUMIF($B$4:$B$39,1,$Q$4:$Q$39)</f>
        <v>5803.958333333333</v>
      </c>
      <c r="C43">
        <f>SUMIF($B$4:$B$39,1,$V$4:$V$39)</f>
        <v>-1744.1437499999988</v>
      </c>
      <c r="D43">
        <f>SUMIF($B$4:$B$39,1,$T$4:$T$39)</f>
        <v>0</v>
      </c>
      <c r="E43">
        <f>W15</f>
        <v>355.85625000000118</v>
      </c>
    </row>
    <row r="44" spans="1:23" x14ac:dyDescent="0.25">
      <c r="A44" t="s">
        <v>20</v>
      </c>
      <c r="B44">
        <f>SUMIF($B$4:$B$39,2,$Q$4:$Q$39)</f>
        <v>42255.538194444438</v>
      </c>
      <c r="C44">
        <f>SUMIF($B$4:$B$39,2,$V$4:$V$39)</f>
        <v>28732.816687109382</v>
      </c>
      <c r="D44">
        <f>SUMIF($B$4:$B$39,2,$T$4:$T$39)</f>
        <v>0</v>
      </c>
      <c r="E44">
        <f>W27</f>
        <v>29088.672937109386</v>
      </c>
    </row>
    <row r="45" spans="1:23" x14ac:dyDescent="0.25">
      <c r="A45" t="s">
        <v>21</v>
      </c>
      <c r="B45">
        <f>SUMIF($B$4:$B$39,3,$Q$4:$Q$39)</f>
        <v>94425.051388888882</v>
      </c>
      <c r="C45">
        <f>SUMIF($B$4:$B$39,3,$V$4:$V$39)</f>
        <v>70568.52844565353</v>
      </c>
      <c r="D45">
        <f>SUMIF($B$4:$B$39,3,$T$4:$T$39)</f>
        <v>0</v>
      </c>
      <c r="E45">
        <f>W39</f>
        <v>99657.201382762913</v>
      </c>
    </row>
    <row r="47" spans="1:23" x14ac:dyDescent="0.25">
      <c r="A47" s="3" t="s">
        <v>63</v>
      </c>
    </row>
    <row r="48" spans="1:23" x14ac:dyDescent="0.25">
      <c r="A48" t="str">
        <f>ROUND(Hypothèses!$D$26*$B$1,0)&amp;" Atelier · "&amp;ROUND(Hypothèses!$D$27*$B$1,0)&amp;" Horizon · "&amp;ROUND(Hypothèses!$D$28*$B$1,0)&amp;" Enverg. · "&amp;ROUND(Hypothèses!$D$29*$B$1,0)&amp;" Rayonn."</f>
        <v>14 Atelier · 49 Horizon · 2 Enverg. · 1 Rayonn.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8"/>
  <sheetViews>
    <sheetView workbookViewId="0"/>
  </sheetViews>
  <sheetFormatPr baseColWidth="10" defaultColWidth="9.140625" defaultRowHeight="15" x14ac:dyDescent="0.25"/>
  <cols>
    <col min="1" max="23" width="15" customWidth="1"/>
  </cols>
  <sheetData>
    <row r="1" spans="1:23" x14ac:dyDescent="0.25">
      <c r="A1" t="s">
        <v>37</v>
      </c>
      <c r="B1">
        <v>1</v>
      </c>
    </row>
    <row r="2" spans="1:23" x14ac:dyDescent="0.25">
      <c r="A2" t="s">
        <v>38</v>
      </c>
      <c r="B2">
        <f>ROUND(Hypothèses!$C$30*$B$1,0)</f>
        <v>1</v>
      </c>
      <c r="C2" t="s">
        <v>39</v>
      </c>
      <c r="D2">
        <f>ROUND(Hypothèses!$D$30*$B$1,0)</f>
        <v>3</v>
      </c>
    </row>
    <row r="3" spans="1:23" ht="30" x14ac:dyDescent="0.25">
      <c r="A3" s="1" t="s">
        <v>40</v>
      </c>
      <c r="B3" s="1" t="s">
        <v>41</v>
      </c>
      <c r="C3" s="1" t="s">
        <v>27</v>
      </c>
      <c r="D3" s="1" t="s">
        <v>28</v>
      </c>
      <c r="E3" s="1" t="s">
        <v>42</v>
      </c>
      <c r="F3" s="1" t="s">
        <v>30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</row>
    <row r="4" spans="1:23" x14ac:dyDescent="0.25">
      <c r="A4">
        <v>1</v>
      </c>
      <c r="B4">
        <f t="shared" ref="B4:B39" si="0">INT((A4-1)/12)+1</f>
        <v>1</v>
      </c>
      <c r="C4">
        <f>ROUND(IF(MOD($A4,12)=0,G4,(IF(4=4,0,C3))*(1-$K4)+IF((IF(4=4,0,C3))*(1-$K4)&lt;G4,(G4-(IF(4=4,0,C3))*(1-$K4))*Hypothèses!$B$10,0)),1)</f>
        <v>0.2</v>
      </c>
      <c r="D4">
        <f>ROUND(IF(MOD($A4,12)=0,H4,(IF(4=4,0,D3))*(1-$K4)+IF((IF(4=4,0,D3))*(1-$K4)&lt;H4,(H4-(IF(4=4,0,D3))*(1-$K4))*Hypothèses!$B$10,0)),1)</f>
        <v>0.3</v>
      </c>
      <c r="E4">
        <f>ROUND(IF(MOD($A4,12)=0,I4,(IF(4=4,0,E3))*(1-$K4)+IF((IF(4=4,0,E3))*(1-$K4)&lt;I4,(I4-(IF(4=4,0,E3))*(1-$K4))*Hypothèses!$B$10,0)),1)</f>
        <v>0</v>
      </c>
      <c r="F4">
        <f>ROUND(IF(MOD($A4,12)=0,J4,(IF(4=4,0,F3))*(1-$K4)+IF((IF(4=4,0,F3))*(1-$K4)&lt;J4,(J4-(IF(4=4,0,F3))*(1-$K4))*Hypothèses!$B$10,0)),1)</f>
        <v>0</v>
      </c>
      <c r="G4">
        <f>(IF(B4=1,0,IF(B4=2,Hypothèses!$B$26,IF(B4=3,Hypothèses!$C$26,Hypothèses!$D$26)))+(IF(B4=1,Hypothèses!$B$26,IF(B4=2,Hypothèses!$C$26,IF(B4=3,Hypothèses!$D$26,Hypothèses!$D$26)))-(IF(B4=1,0,IF(B4=2,Hypothèses!$B$26,IF(B4=3,Hypothèses!$C$26,Hypothèses!$D$26)))))*((A4)-INT((A4-1)/12)*12)/12)*$B$1</f>
        <v>0.41666666666666669</v>
      </c>
      <c r="H4">
        <f>(IF(B4=1,0,IF(B4=2,Hypothèses!$B$27,IF(B4=3,Hypothèses!$C$27,Hypothèses!$D$27)))+(IF(B4=1,Hypothèses!$B$27,IF(B4=2,Hypothèses!$C$27,IF(B4=3,Hypothèses!$D$27,Hypothèses!$D$27)))-(IF(B4=1,0,IF(B4=2,Hypothèses!$B$27,IF(B4=3,Hypothèses!$C$27,Hypothèses!$D$27)))))*((A4)-INT((A4-1)/12)*12)/12)*$B$1</f>
        <v>0.83333333333333337</v>
      </c>
      <c r="I4">
        <f>(IF(B4=1,0,IF(B4=2,Hypothèses!$B$28,IF(B4=3,Hypothèses!$C$28,Hypothèses!$D$28)))+(IF(B4=1,Hypothèses!$B$28,IF(B4=2,Hypothèses!$C$28,IF(B4=3,Hypothèses!$D$28,Hypothèses!$D$28)))-(IF(B4=1,0,IF(B4=2,Hypothèses!$B$28,IF(B4=3,Hypothèses!$C$28,Hypothèses!$D$28)))))*((A4)-INT((A4-1)/12)*12)/12)*$B$1</f>
        <v>0</v>
      </c>
      <c r="J4">
        <f>(IF(B4=1,0,IF(B4=2,Hypothèses!$B$29,IF(B4=3,Hypothèses!$C$29,Hypothèses!$D$29)))+(IF(B4=1,Hypothèses!$B$29,IF(B4=2,Hypothèses!$C$29,IF(B4=3,Hypothèses!$D$29,Hypothèses!$D$29)))-(IF(B4=1,0,IF(B4=2,Hypothèses!$B$29,IF(B4=3,Hypothèses!$C$29,Hypothèses!$D$29)))))*((A4)-INT((A4-1)/12)*12)/12)*$B$1</f>
        <v>0</v>
      </c>
      <c r="K4">
        <f>IF(A4&lt;Hypothèses!$B$7,0,Hypothèses!$B$8*(1-Hypothèses!$B$9)^(A4-Hypothèses!$B$7))</f>
        <v>0</v>
      </c>
      <c r="L4">
        <f t="shared" ref="L4:L39" si="1">C4+D4+E4+F4</f>
        <v>0.5</v>
      </c>
      <c r="M4">
        <f>(C4*Hypothèses!$B$11+D4*Hypothèses!$B$12+E4*Hypothèses!$B$13+F4*Hypothèses!$B$14)*(IF(B4=1,Hypothèses!$B$20,IF(B4=2,Hypothèses!$B$21,Hypothèses!$B$22))+(1-(IF(B4=1,Hypothèses!$B$20,IF(B4=2,Hypothèses!$B$21,Hypothèses!$B$22))))*11/12)</f>
        <v>60.416666666666664</v>
      </c>
      <c r="N4">
        <f>L4*IF(B4=1,Hypothèses!$C$20,IF(B4=2,Hypothèses!$C$21,Hypothèses!$C$22))*IF(B4=1,Hypothèses!$D$20,IF(B4=2,Hypothèses!$D$21,Hypothèses!$D$22))</f>
        <v>0.5</v>
      </c>
      <c r="O4">
        <f>IF(A4=18,IF($B$2&gt;=1,Hypothèses!$B$33,0),IF(AND(OR(A4=30,A4=34),$D$2&gt;=1),Hypothèses!$B$34*MIN(1,$D$2/3),0))</f>
        <v>0</v>
      </c>
      <c r="P4">
        <f t="shared" ref="P4:P39" si="2">M4+N4+O4</f>
        <v>60.916666666666664</v>
      </c>
      <c r="Q4">
        <f>P4/(1+Hypothèses!$B$6)</f>
        <v>50.763888888888886</v>
      </c>
      <c r="R4">
        <f>Hypothèses!$B$3*(1+Hypothèses!$B$4)^INT((A4-1)/3)</f>
        <v>500</v>
      </c>
      <c r="S4">
        <f t="shared" ref="S4:S39" si="3">IF($A4&gt;=13,1,0)</f>
        <v>0</v>
      </c>
      <c r="T4">
        <f>S4*Hypothèses!$B$17</f>
        <v>0</v>
      </c>
      <c r="U4">
        <f>Q4*Hypothèses!$B$5</f>
        <v>0.50763888888888886</v>
      </c>
      <c r="V4">
        <f t="shared" ref="V4:V39" si="4">Q4-R4-T4-U4</f>
        <v>-449.74374999999998</v>
      </c>
      <c r="W4">
        <f>Hypothèses!$B$2+V4</f>
        <v>1650.2562499999999</v>
      </c>
    </row>
    <row r="5" spans="1:23" x14ac:dyDescent="0.25">
      <c r="A5">
        <v>2</v>
      </c>
      <c r="B5">
        <f t="shared" si="0"/>
        <v>1</v>
      </c>
      <c r="C5">
        <f>ROUND(IF(MOD($A5,12)=0,G5,(IF(5=4,0,C4))*(1-$K5)+IF((IF(5=4,0,C4))*(1-$K5)&lt;G5,(G5-(IF(5=4,0,C4))*(1-$K5))*Hypothèses!$B$10,0)),1)</f>
        <v>0.5</v>
      </c>
      <c r="D5">
        <f>ROUND(IF(MOD($A5,12)=0,H5,(IF(5=4,0,D4))*(1-$K5)+IF((IF(5=4,0,D4))*(1-$K5)&lt;H5,(H5-(IF(5=4,0,D4))*(1-$K5))*Hypothèses!$B$10,0)),1)</f>
        <v>0.8</v>
      </c>
      <c r="E5">
        <f>ROUND(IF(MOD($A5,12)=0,I5,(IF(5=4,0,E4))*(1-$K5)+IF((IF(5=4,0,E4))*(1-$K5)&lt;I5,(I5-(IF(5=4,0,E4))*(1-$K5))*Hypothèses!$B$10,0)),1)</f>
        <v>0</v>
      </c>
      <c r="F5">
        <f>ROUND(IF(MOD($A5,12)=0,J5,(IF(5=4,0,F4))*(1-$K5)+IF((IF(5=4,0,F4))*(1-$K5)&lt;J5,(J5-(IF(5=4,0,F4))*(1-$K5))*Hypothèses!$B$10,0)),1)</f>
        <v>0</v>
      </c>
      <c r="G5">
        <f>(IF(B5=1,0,IF(B5=2,Hypothèses!$B$26,IF(B5=3,Hypothèses!$C$26,Hypothèses!$D$26)))+(IF(B5=1,Hypothèses!$B$26,IF(B5=2,Hypothèses!$C$26,IF(B5=3,Hypothèses!$D$26,Hypothèses!$D$26)))-(IF(B5=1,0,IF(B5=2,Hypothèses!$B$26,IF(B5=3,Hypothèses!$C$26,Hypothèses!$D$26)))))*((A5)-INT((A5-1)/12)*12)/12)*$B$1</f>
        <v>0.83333333333333337</v>
      </c>
      <c r="H5">
        <f>(IF(B5=1,0,IF(B5=2,Hypothèses!$B$27,IF(B5=3,Hypothèses!$C$27,Hypothèses!$D$27)))+(IF(B5=1,Hypothèses!$B$27,IF(B5=2,Hypothèses!$C$27,IF(B5=3,Hypothèses!$D$27,Hypothèses!$D$27)))-(IF(B5=1,0,IF(B5=2,Hypothèses!$B$27,IF(B5=3,Hypothèses!$C$27,Hypothèses!$D$27)))))*((A5)-INT((A5-1)/12)*12)/12)*$B$1</f>
        <v>1.6666666666666667</v>
      </c>
      <c r="I5">
        <f>(IF(B5=1,0,IF(B5=2,Hypothèses!$B$28,IF(B5=3,Hypothèses!$C$28,Hypothèses!$D$28)))+(IF(B5=1,Hypothèses!$B$28,IF(B5=2,Hypothèses!$C$28,IF(B5=3,Hypothèses!$D$28,Hypothèses!$D$28)))-(IF(B5=1,0,IF(B5=2,Hypothèses!$B$28,IF(B5=3,Hypothèses!$C$28,Hypothèses!$D$28)))))*((A5)-INT((A5-1)/12)*12)/12)*$B$1</f>
        <v>0</v>
      </c>
      <c r="J5">
        <f>(IF(B5=1,0,IF(B5=2,Hypothèses!$B$29,IF(B5=3,Hypothèses!$C$29,Hypothèses!$D$29)))+(IF(B5=1,Hypothèses!$B$29,IF(B5=2,Hypothèses!$C$29,IF(B5=3,Hypothèses!$D$29,Hypothèses!$D$29)))-(IF(B5=1,0,IF(B5=2,Hypothèses!$B$29,IF(B5=3,Hypothèses!$C$29,Hypothèses!$D$29)))))*((A5)-INT((A5-1)/12)*12)/12)*$B$1</f>
        <v>0</v>
      </c>
      <c r="K5">
        <f>IF(A5&lt;Hypothèses!$B$7,0,Hypothèses!$B$8*(1-Hypothèses!$B$9)^(A5-Hypothèses!$B$7))</f>
        <v>0</v>
      </c>
      <c r="L5">
        <f t="shared" si="1"/>
        <v>1.3</v>
      </c>
      <c r="M5">
        <f>(C5*Hypothèses!$B$11+D5*Hypothèses!$B$12+E5*Hypothèses!$B$13+F5*Hypothèses!$B$14)*(IF(B5=1,Hypothèses!$B$20,IF(B5=2,Hypothèses!$B$21,Hypothèses!$B$22))+(1-(IF(B5=1,Hypothèses!$B$20,IF(B5=2,Hypothèses!$B$21,Hypothèses!$B$22))))*11/12)</f>
        <v>158.24333333333331</v>
      </c>
      <c r="N5">
        <f>L5*IF(B5=1,Hypothèses!$C$20,IF(B5=2,Hypothèses!$C$21,Hypothèses!$C$22))*IF(B5=1,Hypothèses!$D$20,IF(B5=2,Hypothèses!$D$21,Hypothèses!$D$22))</f>
        <v>1.3</v>
      </c>
      <c r="O5">
        <f>IF(A5=18,IF($B$2&gt;=1,Hypothèses!$B$33,0),IF(AND(OR(A5=30,A5=34),$D$2&gt;=1),Hypothèses!$B$34*MIN(1,$D$2/3),0))</f>
        <v>0</v>
      </c>
      <c r="P5">
        <f t="shared" si="2"/>
        <v>159.54333333333332</v>
      </c>
      <c r="Q5">
        <f>P5/(1+Hypothèses!$B$6)</f>
        <v>132.95277777777778</v>
      </c>
      <c r="R5">
        <f>Hypothèses!$B$3*(1+Hypothèses!$B$4)^INT((A5-1)/3)</f>
        <v>500</v>
      </c>
      <c r="S5">
        <f t="shared" si="3"/>
        <v>0</v>
      </c>
      <c r="T5">
        <f>S5*Hypothèses!$B$17</f>
        <v>0</v>
      </c>
      <c r="U5">
        <f>Q5*Hypothèses!$B$5</f>
        <v>1.3295277777777779</v>
      </c>
      <c r="V5">
        <f t="shared" si="4"/>
        <v>-368.37675000000002</v>
      </c>
      <c r="W5">
        <f t="shared" ref="W5:W39" si="5">W4+V5</f>
        <v>1281.8795</v>
      </c>
    </row>
    <row r="6" spans="1:23" x14ac:dyDescent="0.25">
      <c r="A6">
        <v>3</v>
      </c>
      <c r="B6">
        <f t="shared" si="0"/>
        <v>1</v>
      </c>
      <c r="C6">
        <f>ROUND(IF(MOD($A6,12)=0,G6,(IF(6=4,0,C5))*(1-$K6)+IF((IF(6=4,0,C5))*(1-$K6)&lt;G6,(G6-(IF(6=4,0,C5))*(1-$K6))*Hypothèses!$B$10,0)),1)</f>
        <v>0.8</v>
      </c>
      <c r="D6">
        <f>ROUND(IF(MOD($A6,12)=0,H6,(IF(6=4,0,D5))*(1-$K6)+IF((IF(6=4,0,D5))*(1-$K6)&lt;H6,(H6-(IF(6=4,0,D5))*(1-$K6))*Hypothèses!$B$10,0)),1)</f>
        <v>1.5</v>
      </c>
      <c r="E6">
        <f>ROUND(IF(MOD($A6,12)=0,I6,(IF(6=4,0,E5))*(1-$K6)+IF((IF(6=4,0,E5))*(1-$K6)&lt;I6,(I6-(IF(6=4,0,E5))*(1-$K6))*Hypothèses!$B$10,0)),1)</f>
        <v>0</v>
      </c>
      <c r="F6">
        <f>ROUND(IF(MOD($A6,12)=0,J6,(IF(6=4,0,F5))*(1-$K6)+IF((IF(6=4,0,F5))*(1-$K6)&lt;J6,(J6-(IF(6=4,0,F5))*(1-$K6))*Hypothèses!$B$10,0)),1)</f>
        <v>0</v>
      </c>
      <c r="G6">
        <f>(IF(B6=1,0,IF(B6=2,Hypothèses!$B$26,IF(B6=3,Hypothèses!$C$26,Hypothèses!$D$26)))+(IF(B6=1,Hypothèses!$B$26,IF(B6=2,Hypothèses!$C$26,IF(B6=3,Hypothèses!$D$26,Hypothèses!$D$26)))-(IF(B6=1,0,IF(B6=2,Hypothèses!$B$26,IF(B6=3,Hypothèses!$C$26,Hypothèses!$D$26)))))*((A6)-INT((A6-1)/12)*12)/12)*$B$1</f>
        <v>1.25</v>
      </c>
      <c r="H6">
        <f>(IF(B6=1,0,IF(B6=2,Hypothèses!$B$27,IF(B6=3,Hypothèses!$C$27,Hypothèses!$D$27)))+(IF(B6=1,Hypothèses!$B$27,IF(B6=2,Hypothèses!$C$27,IF(B6=3,Hypothèses!$D$27,Hypothèses!$D$27)))-(IF(B6=1,0,IF(B6=2,Hypothèses!$B$27,IF(B6=3,Hypothèses!$C$27,Hypothèses!$D$27)))))*((A6)-INT((A6-1)/12)*12)/12)*$B$1</f>
        <v>2.5</v>
      </c>
      <c r="I6">
        <f>(IF(B6=1,0,IF(B6=2,Hypothèses!$B$28,IF(B6=3,Hypothèses!$C$28,Hypothèses!$D$28)))+(IF(B6=1,Hypothèses!$B$28,IF(B6=2,Hypothèses!$C$28,IF(B6=3,Hypothèses!$D$28,Hypothèses!$D$28)))-(IF(B6=1,0,IF(B6=2,Hypothèses!$B$28,IF(B6=3,Hypothèses!$C$28,Hypothèses!$D$28)))))*((A6)-INT((A6-1)/12)*12)/12)*$B$1</f>
        <v>0</v>
      </c>
      <c r="J6">
        <f>(IF(B6=1,0,IF(B6=2,Hypothèses!$B$29,IF(B6=3,Hypothèses!$C$29,Hypothèses!$D$29)))+(IF(B6=1,Hypothèses!$B$29,IF(B6=2,Hypothèses!$C$29,IF(B6=3,Hypothèses!$D$29,Hypothèses!$D$29)))-(IF(B6=1,0,IF(B6=2,Hypothèses!$B$29,IF(B6=3,Hypothèses!$C$29,Hypothèses!$D$29)))))*((A6)-INT((A6-1)/12)*12)/12)*$B$1</f>
        <v>0</v>
      </c>
      <c r="K6">
        <f>IF(A6&lt;Hypothèses!$B$7,0,Hypothèses!$B$8*(1-Hypothèses!$B$9)^(A6-Hypothèses!$B$7))</f>
        <v>0</v>
      </c>
      <c r="L6">
        <f t="shared" si="1"/>
        <v>2.2999999999999998</v>
      </c>
      <c r="M6">
        <f>(C6*Hypothèses!$B$11+D6*Hypothèses!$B$12+E6*Hypothèses!$B$13+F6*Hypothèses!$B$14)*(IF(B6=1,Hypothèses!$B$20,IF(B6=2,Hypothèses!$B$21,Hypothèses!$B$22))+(1-(IF(B6=1,Hypothèses!$B$20,IF(B6=2,Hypothèses!$B$21,Hypothèses!$B$22))))*11/12)</f>
        <v>284.87666666666667</v>
      </c>
      <c r="N6">
        <f>L6*IF(B6=1,Hypothèses!$C$20,IF(B6=2,Hypothèses!$C$21,Hypothèses!$C$22))*IF(B6=1,Hypothèses!$D$20,IF(B6=2,Hypothèses!$D$21,Hypothèses!$D$22))</f>
        <v>2.2999999999999998</v>
      </c>
      <c r="O6">
        <f>IF(A6=18,IF($B$2&gt;=1,Hypothèses!$B$33,0),IF(AND(OR(A6=30,A6=34),$D$2&gt;=1),Hypothèses!$B$34*MIN(1,$D$2/3),0))</f>
        <v>0</v>
      </c>
      <c r="P6">
        <f t="shared" si="2"/>
        <v>287.17666666666668</v>
      </c>
      <c r="Q6">
        <f>P6/(1+Hypothèses!$B$6)</f>
        <v>239.3138888888889</v>
      </c>
      <c r="R6">
        <f>Hypothèses!$B$3*(1+Hypothèses!$B$4)^INT((A6-1)/3)</f>
        <v>500</v>
      </c>
      <c r="S6">
        <f t="shared" si="3"/>
        <v>0</v>
      </c>
      <c r="T6">
        <f>S6*Hypothèses!$B$17</f>
        <v>0</v>
      </c>
      <c r="U6">
        <f>Q6*Hypothèses!$B$5</f>
        <v>2.3931388888888891</v>
      </c>
      <c r="V6">
        <f t="shared" si="4"/>
        <v>-263.07925</v>
      </c>
      <c r="W6">
        <f t="shared" si="5"/>
        <v>1018.80025</v>
      </c>
    </row>
    <row r="7" spans="1:23" x14ac:dyDescent="0.25">
      <c r="A7">
        <v>4</v>
      </c>
      <c r="B7">
        <f t="shared" si="0"/>
        <v>1</v>
      </c>
      <c r="C7">
        <f>ROUND(IF(MOD($A7,12)=0,G7,(IF(7=4,0,C6))*(1-$K7)+IF((IF(7=4,0,C6))*(1-$K7)&lt;G7,(G7-(IF(7=4,0,C6))*(1-$K7))*Hypothèses!$B$10,0)),1)</f>
        <v>1.1000000000000001</v>
      </c>
      <c r="D7">
        <f>ROUND(IF(MOD($A7,12)=0,H7,(IF(7=4,0,D6))*(1-$K7)+IF((IF(7=4,0,D6))*(1-$K7)&lt;H7,(H7-(IF(7=4,0,D6))*(1-$K7))*Hypothèses!$B$10,0)),1)</f>
        <v>2.2000000000000002</v>
      </c>
      <c r="E7">
        <f>ROUND(IF(MOD($A7,12)=0,I7,(IF(7=4,0,E6))*(1-$K7)+IF((IF(7=4,0,E6))*(1-$K7)&lt;I7,(I7-(IF(7=4,0,E6))*(1-$K7))*Hypothèses!$B$10,0)),1)</f>
        <v>0</v>
      </c>
      <c r="F7">
        <f>ROUND(IF(MOD($A7,12)=0,J7,(IF(7=4,0,F6))*(1-$K7)+IF((IF(7=4,0,F6))*(1-$K7)&lt;J7,(J7-(IF(7=4,0,F6))*(1-$K7))*Hypothèses!$B$10,0)),1)</f>
        <v>0</v>
      </c>
      <c r="G7">
        <f>(IF(B7=1,0,IF(B7=2,Hypothèses!$B$26,IF(B7=3,Hypothèses!$C$26,Hypothèses!$D$26)))+(IF(B7=1,Hypothèses!$B$26,IF(B7=2,Hypothèses!$C$26,IF(B7=3,Hypothèses!$D$26,Hypothèses!$D$26)))-(IF(B7=1,0,IF(B7=2,Hypothèses!$B$26,IF(B7=3,Hypothèses!$C$26,Hypothèses!$D$26)))))*((A7)-INT((A7-1)/12)*12)/12)*$B$1</f>
        <v>1.6666666666666667</v>
      </c>
      <c r="H7">
        <f>(IF(B7=1,0,IF(B7=2,Hypothèses!$B$27,IF(B7=3,Hypothèses!$C$27,Hypothèses!$D$27)))+(IF(B7=1,Hypothèses!$B$27,IF(B7=2,Hypothèses!$C$27,IF(B7=3,Hypothèses!$D$27,Hypothèses!$D$27)))-(IF(B7=1,0,IF(B7=2,Hypothèses!$B$27,IF(B7=3,Hypothèses!$C$27,Hypothèses!$D$27)))))*((A7)-INT((A7-1)/12)*12)/12)*$B$1</f>
        <v>3.3333333333333335</v>
      </c>
      <c r="I7">
        <f>(IF(B7=1,0,IF(B7=2,Hypothèses!$B$28,IF(B7=3,Hypothèses!$C$28,Hypothèses!$D$28)))+(IF(B7=1,Hypothèses!$B$28,IF(B7=2,Hypothèses!$C$28,IF(B7=3,Hypothèses!$D$28,Hypothèses!$D$28)))-(IF(B7=1,0,IF(B7=2,Hypothèses!$B$28,IF(B7=3,Hypothèses!$C$28,Hypothèses!$D$28)))))*((A7)-INT((A7-1)/12)*12)/12)*$B$1</f>
        <v>0</v>
      </c>
      <c r="J7">
        <f>(IF(B7=1,0,IF(B7=2,Hypothèses!$B$29,IF(B7=3,Hypothèses!$C$29,Hypothèses!$D$29)))+(IF(B7=1,Hypothèses!$B$29,IF(B7=2,Hypothèses!$C$29,IF(B7=3,Hypothèses!$D$29,Hypothèses!$D$29)))-(IF(B7=1,0,IF(B7=2,Hypothèses!$B$29,IF(B7=3,Hypothèses!$C$29,Hypothèses!$D$29)))))*((A7)-INT((A7-1)/12)*12)/12)*$B$1</f>
        <v>0</v>
      </c>
      <c r="K7">
        <f>IF(A7&lt;Hypothèses!$B$7,0,Hypothèses!$B$8*(1-Hypothèses!$B$9)^(A7-Hypothèses!$B$7))</f>
        <v>0</v>
      </c>
      <c r="L7">
        <f t="shared" si="1"/>
        <v>3.3000000000000003</v>
      </c>
      <c r="M7">
        <f>(C7*Hypothèses!$B$11+D7*Hypothèses!$B$12+E7*Hypothèses!$B$13+F7*Hypothèses!$B$14)*(IF(B7=1,Hypothèses!$B$20,IF(B7=2,Hypothèses!$B$21,Hypothèses!$B$22))+(1-(IF(B7=1,Hypothèses!$B$20,IF(B7=2,Hypothèses!$B$21,Hypothèses!$B$22))))*11/12)</f>
        <v>411.51000000000005</v>
      </c>
      <c r="N7">
        <f>L7*IF(B7=1,Hypothèses!$C$20,IF(B7=2,Hypothèses!$C$21,Hypothèses!$C$22))*IF(B7=1,Hypothèses!$D$20,IF(B7=2,Hypothèses!$D$21,Hypothèses!$D$22))</f>
        <v>3.3000000000000007</v>
      </c>
      <c r="O7">
        <f>IF(A7=18,IF($B$2&gt;=1,Hypothèses!$B$33,0),IF(AND(OR(A7=30,A7=34),$D$2&gt;=1),Hypothèses!$B$34*MIN(1,$D$2/3),0))</f>
        <v>0</v>
      </c>
      <c r="P7">
        <f t="shared" si="2"/>
        <v>414.81000000000006</v>
      </c>
      <c r="Q7">
        <f>P7/(1+Hypothèses!$B$6)</f>
        <v>345.67500000000007</v>
      </c>
      <c r="R7">
        <f>Hypothèses!$B$3*(1+Hypothèses!$B$4)^INT((A7-1)/3)</f>
        <v>575</v>
      </c>
      <c r="S7">
        <f t="shared" si="3"/>
        <v>0</v>
      </c>
      <c r="T7">
        <f>S7*Hypothèses!$B$17</f>
        <v>0</v>
      </c>
      <c r="U7">
        <f>Q7*Hypothèses!$B$5</f>
        <v>3.4567500000000009</v>
      </c>
      <c r="V7">
        <f t="shared" si="4"/>
        <v>-232.78174999999993</v>
      </c>
      <c r="W7">
        <f t="shared" si="5"/>
        <v>786.01850000000013</v>
      </c>
    </row>
    <row r="8" spans="1:23" x14ac:dyDescent="0.25">
      <c r="A8">
        <v>5</v>
      </c>
      <c r="B8">
        <f t="shared" si="0"/>
        <v>1</v>
      </c>
      <c r="C8">
        <f>ROUND(IF(MOD($A8,12)=0,G8,(IF(8=4,0,C7))*(1-$K8)+IF((IF(8=4,0,C7))*(1-$K8)&lt;G8,(G8-(IF(8=4,0,C7))*(1-$K8))*Hypothèses!$B$10,0)),1)</f>
        <v>1.5</v>
      </c>
      <c r="D8">
        <f>ROUND(IF(MOD($A8,12)=0,H8,(IF(8=4,0,D7))*(1-$K8)+IF((IF(8=4,0,D7))*(1-$K8)&lt;H8,(H8-(IF(8=4,0,D7))*(1-$K8))*Hypothèses!$B$10,0)),1)</f>
        <v>3</v>
      </c>
      <c r="E8">
        <f>ROUND(IF(MOD($A8,12)=0,I8,(IF(8=4,0,E7))*(1-$K8)+IF((IF(8=4,0,E7))*(1-$K8)&lt;I8,(I8-(IF(8=4,0,E7))*(1-$K8))*Hypothèses!$B$10,0)),1)</f>
        <v>0</v>
      </c>
      <c r="F8">
        <f>ROUND(IF(MOD($A8,12)=0,J8,(IF(8=4,0,F7))*(1-$K8)+IF((IF(8=4,0,F7))*(1-$K8)&lt;J8,(J8-(IF(8=4,0,F7))*(1-$K8))*Hypothèses!$B$10,0)),1)</f>
        <v>0</v>
      </c>
      <c r="G8">
        <f>(IF(B8=1,0,IF(B8=2,Hypothèses!$B$26,IF(B8=3,Hypothèses!$C$26,Hypothèses!$D$26)))+(IF(B8=1,Hypothèses!$B$26,IF(B8=2,Hypothèses!$C$26,IF(B8=3,Hypothèses!$D$26,Hypothèses!$D$26)))-(IF(B8=1,0,IF(B8=2,Hypothèses!$B$26,IF(B8=3,Hypothèses!$C$26,Hypothèses!$D$26)))))*((A8)-INT((A8-1)/12)*12)/12)*$B$1</f>
        <v>2.0833333333333335</v>
      </c>
      <c r="H8">
        <f>(IF(B8=1,0,IF(B8=2,Hypothèses!$B$27,IF(B8=3,Hypothèses!$C$27,Hypothèses!$D$27)))+(IF(B8=1,Hypothèses!$B$27,IF(B8=2,Hypothèses!$C$27,IF(B8=3,Hypothèses!$D$27,Hypothèses!$D$27)))-(IF(B8=1,0,IF(B8=2,Hypothèses!$B$27,IF(B8=3,Hypothèses!$C$27,Hypothèses!$D$27)))))*((A8)-INT((A8-1)/12)*12)/12)*$B$1</f>
        <v>4.166666666666667</v>
      </c>
      <c r="I8">
        <f>(IF(B8=1,0,IF(B8=2,Hypothèses!$B$28,IF(B8=3,Hypothèses!$C$28,Hypothèses!$D$28)))+(IF(B8=1,Hypothèses!$B$28,IF(B8=2,Hypothèses!$C$28,IF(B8=3,Hypothèses!$D$28,Hypothèses!$D$28)))-(IF(B8=1,0,IF(B8=2,Hypothèses!$B$28,IF(B8=3,Hypothèses!$C$28,Hypothèses!$D$28)))))*((A8)-INT((A8-1)/12)*12)/12)*$B$1</f>
        <v>0</v>
      </c>
      <c r="J8">
        <f>(IF(B8=1,0,IF(B8=2,Hypothèses!$B$29,IF(B8=3,Hypothèses!$C$29,Hypothèses!$D$29)))+(IF(B8=1,Hypothèses!$B$29,IF(B8=2,Hypothèses!$C$29,IF(B8=3,Hypothèses!$D$29,Hypothèses!$D$29)))-(IF(B8=1,0,IF(B8=2,Hypothèses!$B$29,IF(B8=3,Hypothèses!$C$29,Hypothèses!$D$29)))))*((A8)-INT((A8-1)/12)*12)/12)*$B$1</f>
        <v>0</v>
      </c>
      <c r="K8">
        <f>IF(A8&lt;Hypothèses!$B$7,0,Hypothèses!$B$8*(1-Hypothèses!$B$9)^(A8-Hypothèses!$B$7))</f>
        <v>0</v>
      </c>
      <c r="L8">
        <f t="shared" si="1"/>
        <v>4.5</v>
      </c>
      <c r="M8">
        <f>(C8*Hypothèses!$B$11+D8*Hypothèses!$B$12+E8*Hypothèses!$B$13+F8*Hypothèses!$B$14)*(IF(B8=1,Hypothèses!$B$20,IF(B8=2,Hypothèses!$B$21,Hypothèses!$B$22))+(1-(IF(B8=1,Hypothèses!$B$20,IF(B8=2,Hypothèses!$B$21,Hypothèses!$B$22))))*11/12)</f>
        <v>561.15</v>
      </c>
      <c r="N8">
        <f>L8*IF(B8=1,Hypothèses!$C$20,IF(B8=2,Hypothèses!$C$21,Hypothèses!$C$22))*IF(B8=1,Hypothèses!$D$20,IF(B8=2,Hypothèses!$D$21,Hypothèses!$D$22))</f>
        <v>4.5</v>
      </c>
      <c r="O8">
        <f>IF(A8=18,IF($B$2&gt;=1,Hypothèses!$B$33,0),IF(AND(OR(A8=30,A8=34),$D$2&gt;=1),Hypothèses!$B$34*MIN(1,$D$2/3),0))</f>
        <v>0</v>
      </c>
      <c r="P8">
        <f t="shared" si="2"/>
        <v>565.65</v>
      </c>
      <c r="Q8">
        <f>P8/(1+Hypothèses!$B$6)</f>
        <v>471.375</v>
      </c>
      <c r="R8">
        <f>Hypothèses!$B$3*(1+Hypothèses!$B$4)^INT((A8-1)/3)</f>
        <v>575</v>
      </c>
      <c r="S8">
        <f t="shared" si="3"/>
        <v>0</v>
      </c>
      <c r="T8">
        <f>S8*Hypothèses!$B$17</f>
        <v>0</v>
      </c>
      <c r="U8">
        <f>Q8*Hypothèses!$B$5</f>
        <v>4.7137500000000001</v>
      </c>
      <c r="V8">
        <f t="shared" si="4"/>
        <v>-108.33875</v>
      </c>
      <c r="W8">
        <f t="shared" si="5"/>
        <v>677.67975000000013</v>
      </c>
    </row>
    <row r="9" spans="1:23" x14ac:dyDescent="0.25">
      <c r="A9">
        <v>6</v>
      </c>
      <c r="B9">
        <f t="shared" si="0"/>
        <v>1</v>
      </c>
      <c r="C9">
        <f>ROUND(IF(MOD($A9,12)=0,G9,(IF(9=4,0,C8))*(1-$K9)+IF((IF(9=4,0,C8))*(1-$K9)&lt;G9,(G9-(IF(9=4,0,C8))*(1-$K9))*Hypothèses!$B$10,0)),1)</f>
        <v>1.9</v>
      </c>
      <c r="D9">
        <f>ROUND(IF(MOD($A9,12)=0,H9,(IF(9=4,0,D8))*(1-$K9)+IF((IF(9=4,0,D8))*(1-$K9)&lt;H9,(H9-(IF(9=4,0,D8))*(1-$K9))*Hypothèses!$B$10,0)),1)</f>
        <v>3.8</v>
      </c>
      <c r="E9">
        <f>ROUND(IF(MOD($A9,12)=0,I9,(IF(9=4,0,E8))*(1-$K9)+IF((IF(9=4,0,E8))*(1-$K9)&lt;I9,(I9-(IF(9=4,0,E8))*(1-$K9))*Hypothèses!$B$10,0)),1)</f>
        <v>0</v>
      </c>
      <c r="F9">
        <f>ROUND(IF(MOD($A9,12)=0,J9,(IF(9=4,0,F8))*(1-$K9)+IF((IF(9=4,0,F8))*(1-$K9)&lt;J9,(J9-(IF(9=4,0,F8))*(1-$K9))*Hypothèses!$B$10,0)),1)</f>
        <v>0</v>
      </c>
      <c r="G9">
        <f>(IF(B9=1,0,IF(B9=2,Hypothèses!$B$26,IF(B9=3,Hypothèses!$C$26,Hypothèses!$D$26)))+(IF(B9=1,Hypothèses!$B$26,IF(B9=2,Hypothèses!$C$26,IF(B9=3,Hypothèses!$D$26,Hypothèses!$D$26)))-(IF(B9=1,0,IF(B9=2,Hypothèses!$B$26,IF(B9=3,Hypothèses!$C$26,Hypothèses!$D$26)))))*((A9)-INT((A9-1)/12)*12)/12)*$B$1</f>
        <v>2.5</v>
      </c>
      <c r="H9">
        <f>(IF(B9=1,0,IF(B9=2,Hypothèses!$B$27,IF(B9=3,Hypothèses!$C$27,Hypothèses!$D$27)))+(IF(B9=1,Hypothèses!$B$27,IF(B9=2,Hypothèses!$C$27,IF(B9=3,Hypothèses!$D$27,Hypothèses!$D$27)))-(IF(B9=1,0,IF(B9=2,Hypothèses!$B$27,IF(B9=3,Hypothèses!$C$27,Hypothèses!$D$27)))))*((A9)-INT((A9-1)/12)*12)/12)*$B$1</f>
        <v>5</v>
      </c>
      <c r="I9">
        <f>(IF(B9=1,0,IF(B9=2,Hypothèses!$B$28,IF(B9=3,Hypothèses!$C$28,Hypothèses!$D$28)))+(IF(B9=1,Hypothèses!$B$28,IF(B9=2,Hypothèses!$C$28,IF(B9=3,Hypothèses!$D$28,Hypothèses!$D$28)))-(IF(B9=1,0,IF(B9=2,Hypothèses!$B$28,IF(B9=3,Hypothèses!$C$28,Hypothèses!$D$28)))))*((A9)-INT((A9-1)/12)*12)/12)*$B$1</f>
        <v>0</v>
      </c>
      <c r="J9">
        <f>(IF(B9=1,0,IF(B9=2,Hypothèses!$B$29,IF(B9=3,Hypothèses!$C$29,Hypothèses!$D$29)))+(IF(B9=1,Hypothèses!$B$29,IF(B9=2,Hypothèses!$C$29,IF(B9=3,Hypothèses!$D$29,Hypothèses!$D$29)))-(IF(B9=1,0,IF(B9=2,Hypothèses!$B$29,IF(B9=3,Hypothèses!$C$29,Hypothèses!$D$29)))))*((A9)-INT((A9-1)/12)*12)/12)*$B$1</f>
        <v>0</v>
      </c>
      <c r="K9">
        <f>IF(A9&lt;Hypothèses!$B$7,0,Hypothèses!$B$8*(1-Hypothèses!$B$9)^(A9-Hypothèses!$B$7))</f>
        <v>0</v>
      </c>
      <c r="L9">
        <f t="shared" si="1"/>
        <v>5.6999999999999993</v>
      </c>
      <c r="M9">
        <f>(C9*Hypothèses!$B$11+D9*Hypothèses!$B$12+E9*Hypothèses!$B$13+F9*Hypothèses!$B$14)*(IF(B9=1,Hypothèses!$B$20,IF(B9=2,Hypothèses!$B$21,Hypothèses!$B$22))+(1-(IF(B9=1,Hypothèses!$B$20,IF(B9=2,Hypothèses!$B$21,Hypothèses!$B$22))))*11/12)</f>
        <v>710.79</v>
      </c>
      <c r="N9">
        <f>L9*IF(B9=1,Hypothèses!$C$20,IF(B9=2,Hypothèses!$C$21,Hypothèses!$C$22))*IF(B9=1,Hypothèses!$D$20,IF(B9=2,Hypothèses!$D$21,Hypothèses!$D$22))</f>
        <v>5.6999999999999993</v>
      </c>
      <c r="O9">
        <f>IF(A9=18,IF($B$2&gt;=1,Hypothèses!$B$33,0),IF(AND(OR(A9=30,A9=34),$D$2&gt;=1),Hypothèses!$B$34*MIN(1,$D$2/3),0))</f>
        <v>0</v>
      </c>
      <c r="P9">
        <f t="shared" si="2"/>
        <v>716.49</v>
      </c>
      <c r="Q9">
        <f>P9/(1+Hypothèses!$B$6)</f>
        <v>597.07500000000005</v>
      </c>
      <c r="R9">
        <f>Hypothèses!$B$3*(1+Hypothèses!$B$4)^INT((A9-1)/3)</f>
        <v>575</v>
      </c>
      <c r="S9">
        <f t="shared" si="3"/>
        <v>0</v>
      </c>
      <c r="T9">
        <f>S9*Hypothèses!$B$17</f>
        <v>0</v>
      </c>
      <c r="U9">
        <f>Q9*Hypothèses!$B$5</f>
        <v>5.9707500000000007</v>
      </c>
      <c r="V9">
        <f t="shared" si="4"/>
        <v>16.104250000000043</v>
      </c>
      <c r="W9">
        <f t="shared" si="5"/>
        <v>693.78400000000022</v>
      </c>
    </row>
    <row r="10" spans="1:23" x14ac:dyDescent="0.25">
      <c r="A10">
        <v>7</v>
      </c>
      <c r="B10">
        <f t="shared" si="0"/>
        <v>1</v>
      </c>
      <c r="C10">
        <f>ROUND(IF(MOD($A10,12)=0,G10,(IF(10=4,0,C9))*(1-$K10)+IF((IF(10=4,0,C9))*(1-$K10)&lt;G10,(G10-(IF(10=4,0,C9))*(1-$K10))*Hypothèses!$B$10,0)),1)</f>
        <v>2.2999999999999998</v>
      </c>
      <c r="D10">
        <f>ROUND(IF(MOD($A10,12)=0,H10,(IF(10=4,0,D9))*(1-$K10)+IF((IF(10=4,0,D9))*(1-$K10)&lt;H10,(H10-(IF(10=4,0,D9))*(1-$K10))*Hypothèses!$B$10,0)),1)</f>
        <v>4.5999999999999996</v>
      </c>
      <c r="E10">
        <f>ROUND(IF(MOD($A10,12)=0,I10,(IF(10=4,0,E9))*(1-$K10)+IF((IF(10=4,0,E9))*(1-$K10)&lt;I10,(I10-(IF(10=4,0,E9))*(1-$K10))*Hypothèses!$B$10,0)),1)</f>
        <v>0</v>
      </c>
      <c r="F10">
        <f>ROUND(IF(MOD($A10,12)=0,J10,(IF(10=4,0,F9))*(1-$K10)+IF((IF(10=4,0,F9))*(1-$K10)&lt;J10,(J10-(IF(10=4,0,F9))*(1-$K10))*Hypothèses!$B$10,0)),1)</f>
        <v>0</v>
      </c>
      <c r="G10">
        <f>(IF(B10=1,0,IF(B10=2,Hypothèses!$B$26,IF(B10=3,Hypothèses!$C$26,Hypothèses!$D$26)))+(IF(B10=1,Hypothèses!$B$26,IF(B10=2,Hypothèses!$C$26,IF(B10=3,Hypothèses!$D$26,Hypothèses!$D$26)))-(IF(B10=1,0,IF(B10=2,Hypothèses!$B$26,IF(B10=3,Hypothèses!$C$26,Hypothèses!$D$26)))))*((A10)-INT((A10-1)/12)*12)/12)*$B$1</f>
        <v>2.9166666666666665</v>
      </c>
      <c r="H10">
        <f>(IF(B10=1,0,IF(B10=2,Hypothèses!$B$27,IF(B10=3,Hypothèses!$C$27,Hypothèses!$D$27)))+(IF(B10=1,Hypothèses!$B$27,IF(B10=2,Hypothèses!$C$27,IF(B10=3,Hypothèses!$D$27,Hypothèses!$D$27)))-(IF(B10=1,0,IF(B10=2,Hypothèses!$B$27,IF(B10=3,Hypothèses!$C$27,Hypothèses!$D$27)))))*((A10)-INT((A10-1)/12)*12)/12)*$B$1</f>
        <v>5.833333333333333</v>
      </c>
      <c r="I10">
        <f>(IF(B10=1,0,IF(B10=2,Hypothèses!$B$28,IF(B10=3,Hypothèses!$C$28,Hypothèses!$D$28)))+(IF(B10=1,Hypothèses!$B$28,IF(B10=2,Hypothèses!$C$28,IF(B10=3,Hypothèses!$D$28,Hypothèses!$D$28)))-(IF(B10=1,0,IF(B10=2,Hypothèses!$B$28,IF(B10=3,Hypothèses!$C$28,Hypothèses!$D$28)))))*((A10)-INT((A10-1)/12)*12)/12)*$B$1</f>
        <v>0</v>
      </c>
      <c r="J10">
        <f>(IF(B10=1,0,IF(B10=2,Hypothèses!$B$29,IF(B10=3,Hypothèses!$C$29,Hypothèses!$D$29)))+(IF(B10=1,Hypothèses!$B$29,IF(B10=2,Hypothèses!$C$29,IF(B10=3,Hypothèses!$D$29,Hypothèses!$D$29)))-(IF(B10=1,0,IF(B10=2,Hypothèses!$B$29,IF(B10=3,Hypothèses!$C$29,Hypothèses!$D$29)))))*((A10)-INT((A10-1)/12)*12)/12)*$B$1</f>
        <v>0</v>
      </c>
      <c r="K10">
        <f>IF(A10&lt;Hypothèses!$B$7,0,Hypothèses!$B$8*(1-Hypothèses!$B$9)^(A10-Hypothèses!$B$7))</f>
        <v>0</v>
      </c>
      <c r="L10">
        <f t="shared" si="1"/>
        <v>6.8999999999999995</v>
      </c>
      <c r="M10">
        <f>(C10*Hypothèses!$B$11+D10*Hypothèses!$B$12+E10*Hypothèses!$B$13+F10*Hypothèses!$B$14)*(IF(B10=1,Hypothèses!$B$20,IF(B10=2,Hypothèses!$B$21,Hypothèses!$B$22))+(1-(IF(B10=1,Hypothèses!$B$20,IF(B10=2,Hypothèses!$B$21,Hypothèses!$B$22))))*11/12)</f>
        <v>860.43</v>
      </c>
      <c r="N10">
        <f>L10*IF(B10=1,Hypothèses!$C$20,IF(B10=2,Hypothèses!$C$21,Hypothèses!$C$22))*IF(B10=1,Hypothèses!$D$20,IF(B10=2,Hypothèses!$D$21,Hypothèses!$D$22))</f>
        <v>6.8999999999999995</v>
      </c>
      <c r="O10">
        <f>IF(A10=18,IF($B$2&gt;=1,Hypothèses!$B$33,0),IF(AND(OR(A10=30,A10=34),$D$2&gt;=1),Hypothèses!$B$34*MIN(1,$D$2/3),0))</f>
        <v>0</v>
      </c>
      <c r="P10">
        <f t="shared" si="2"/>
        <v>867.32999999999993</v>
      </c>
      <c r="Q10">
        <f>P10/(1+Hypothèses!$B$6)</f>
        <v>722.77499999999998</v>
      </c>
      <c r="R10">
        <f>Hypothèses!$B$3*(1+Hypothèses!$B$4)^INT((A10-1)/3)</f>
        <v>661.24999999999989</v>
      </c>
      <c r="S10">
        <f t="shared" si="3"/>
        <v>0</v>
      </c>
      <c r="T10">
        <f>S10*Hypothèses!$B$17</f>
        <v>0</v>
      </c>
      <c r="U10">
        <f>Q10*Hypothèses!$B$5</f>
        <v>7.2277500000000003</v>
      </c>
      <c r="V10">
        <f t="shared" si="4"/>
        <v>54.297250000000091</v>
      </c>
      <c r="W10">
        <f t="shared" si="5"/>
        <v>748.0812500000003</v>
      </c>
    </row>
    <row r="11" spans="1:23" x14ac:dyDescent="0.25">
      <c r="A11">
        <v>8</v>
      </c>
      <c r="B11">
        <f t="shared" si="0"/>
        <v>1</v>
      </c>
      <c r="C11">
        <f>ROUND(IF(MOD($A11,12)=0,G11,(IF(11=4,0,C10))*(1-$K11)+IF((IF(11=4,0,C10))*(1-$K11)&lt;G11,(G11-(IF(11=4,0,C10))*(1-$K11))*Hypothèses!$B$10,0)),1)</f>
        <v>2.7</v>
      </c>
      <c r="D11">
        <f>ROUND(IF(MOD($A11,12)=0,H11,(IF(11=4,0,D10))*(1-$K11)+IF((IF(11=4,0,D10))*(1-$K11)&lt;H11,(H11-(IF(11=4,0,D10))*(1-$K11))*Hypothèses!$B$10,0)),1)</f>
        <v>5.4</v>
      </c>
      <c r="E11">
        <f>ROUND(IF(MOD($A11,12)=0,I11,(IF(11=4,0,E10))*(1-$K11)+IF((IF(11=4,0,E10))*(1-$K11)&lt;I11,(I11-(IF(11=4,0,E10))*(1-$K11))*Hypothèses!$B$10,0)),1)</f>
        <v>0</v>
      </c>
      <c r="F11">
        <f>ROUND(IF(MOD($A11,12)=0,J11,(IF(11=4,0,F10))*(1-$K11)+IF((IF(11=4,0,F10))*(1-$K11)&lt;J11,(J11-(IF(11=4,0,F10))*(1-$K11))*Hypothèses!$B$10,0)),1)</f>
        <v>0</v>
      </c>
      <c r="G11">
        <f>(IF(B11=1,0,IF(B11=2,Hypothèses!$B$26,IF(B11=3,Hypothèses!$C$26,Hypothèses!$D$26)))+(IF(B11=1,Hypothèses!$B$26,IF(B11=2,Hypothèses!$C$26,IF(B11=3,Hypothèses!$D$26,Hypothèses!$D$26)))-(IF(B11=1,0,IF(B11=2,Hypothèses!$B$26,IF(B11=3,Hypothèses!$C$26,Hypothèses!$D$26)))))*((A11)-INT((A11-1)/12)*12)/12)*$B$1</f>
        <v>3.3333333333333335</v>
      </c>
      <c r="H11">
        <f>(IF(B11=1,0,IF(B11=2,Hypothèses!$B$27,IF(B11=3,Hypothèses!$C$27,Hypothèses!$D$27)))+(IF(B11=1,Hypothèses!$B$27,IF(B11=2,Hypothèses!$C$27,IF(B11=3,Hypothèses!$D$27,Hypothèses!$D$27)))-(IF(B11=1,0,IF(B11=2,Hypothèses!$B$27,IF(B11=3,Hypothèses!$C$27,Hypothèses!$D$27)))))*((A11)-INT((A11-1)/12)*12)/12)*$B$1</f>
        <v>6.666666666666667</v>
      </c>
      <c r="I11">
        <f>(IF(B11=1,0,IF(B11=2,Hypothèses!$B$28,IF(B11=3,Hypothèses!$C$28,Hypothèses!$D$28)))+(IF(B11=1,Hypothèses!$B$28,IF(B11=2,Hypothèses!$C$28,IF(B11=3,Hypothèses!$D$28,Hypothèses!$D$28)))-(IF(B11=1,0,IF(B11=2,Hypothèses!$B$28,IF(B11=3,Hypothèses!$C$28,Hypothèses!$D$28)))))*((A11)-INT((A11-1)/12)*12)/12)*$B$1</f>
        <v>0</v>
      </c>
      <c r="J11">
        <f>(IF(B11=1,0,IF(B11=2,Hypothèses!$B$29,IF(B11=3,Hypothèses!$C$29,Hypothèses!$D$29)))+(IF(B11=1,Hypothèses!$B$29,IF(B11=2,Hypothèses!$C$29,IF(B11=3,Hypothèses!$D$29,Hypothèses!$D$29)))-(IF(B11=1,0,IF(B11=2,Hypothèses!$B$29,IF(B11=3,Hypothèses!$C$29,Hypothèses!$D$29)))))*((A11)-INT((A11-1)/12)*12)/12)*$B$1</f>
        <v>0</v>
      </c>
      <c r="K11">
        <f>IF(A11&lt;Hypothèses!$B$7,0,Hypothèses!$B$8*(1-Hypothèses!$B$9)^(A11-Hypothèses!$B$7))</f>
        <v>0</v>
      </c>
      <c r="L11">
        <f t="shared" si="1"/>
        <v>8.1000000000000014</v>
      </c>
      <c r="M11">
        <f>(C11*Hypothèses!$B$11+D11*Hypothèses!$B$12+E11*Hypothèses!$B$13+F11*Hypothèses!$B$14)*(IF(B11=1,Hypothèses!$B$20,IF(B11=2,Hypothèses!$B$21,Hypothèses!$B$22))+(1-(IF(B11=1,Hypothèses!$B$20,IF(B11=2,Hypothèses!$B$21,Hypothèses!$B$22))))*11/12)</f>
        <v>1010.07</v>
      </c>
      <c r="N11">
        <f>L11*IF(B11=1,Hypothèses!$C$20,IF(B11=2,Hypothèses!$C$21,Hypothèses!$C$22))*IF(B11=1,Hypothèses!$D$20,IF(B11=2,Hypothèses!$D$21,Hypothèses!$D$22))</f>
        <v>8.1000000000000014</v>
      </c>
      <c r="O11">
        <f>IF(A11=18,IF($B$2&gt;=1,Hypothèses!$B$33,0),IF(AND(OR(A11=30,A11=34),$D$2&gt;=1),Hypothèses!$B$34*MIN(1,$D$2/3),0))</f>
        <v>0</v>
      </c>
      <c r="P11">
        <f t="shared" si="2"/>
        <v>1018.1700000000001</v>
      </c>
      <c r="Q11">
        <f>P11/(1+Hypothèses!$B$6)</f>
        <v>848.47500000000014</v>
      </c>
      <c r="R11">
        <f>Hypothèses!$B$3*(1+Hypothèses!$B$4)^INT((A11-1)/3)</f>
        <v>661.24999999999989</v>
      </c>
      <c r="S11">
        <f t="shared" si="3"/>
        <v>0</v>
      </c>
      <c r="T11">
        <f>S11*Hypothèses!$B$17</f>
        <v>0</v>
      </c>
      <c r="U11">
        <f>Q11*Hypothèses!$B$5</f>
        <v>8.4847500000000018</v>
      </c>
      <c r="V11">
        <f t="shared" si="4"/>
        <v>178.74025000000026</v>
      </c>
      <c r="W11">
        <f t="shared" si="5"/>
        <v>926.82150000000058</v>
      </c>
    </row>
    <row r="12" spans="1:23" x14ac:dyDescent="0.25">
      <c r="A12">
        <v>9</v>
      </c>
      <c r="B12">
        <f t="shared" si="0"/>
        <v>1</v>
      </c>
      <c r="C12">
        <f>ROUND(IF(MOD($A12,12)=0,G12,(IF(12=4,0,C11))*(1-$K12)+IF((IF(12=4,0,C11))*(1-$K12)&lt;G12,(G12-(IF(12=4,0,C11))*(1-$K12))*Hypothèses!$B$10,0)),1)</f>
        <v>3</v>
      </c>
      <c r="D12">
        <f>ROUND(IF(MOD($A12,12)=0,H12,(IF(12=4,0,D11))*(1-$K12)+IF((IF(12=4,0,D11))*(1-$K12)&lt;H12,(H12-(IF(12=4,0,D11))*(1-$K12))*Hypothèses!$B$10,0)),1)</f>
        <v>6.1</v>
      </c>
      <c r="E12">
        <f>ROUND(IF(MOD($A12,12)=0,I12,(IF(12=4,0,E11))*(1-$K12)+IF((IF(12=4,0,E11))*(1-$K12)&lt;I12,(I12-(IF(12=4,0,E11))*(1-$K12))*Hypothèses!$B$10,0)),1)</f>
        <v>0</v>
      </c>
      <c r="F12">
        <f>ROUND(IF(MOD($A12,12)=0,J12,(IF(12=4,0,F11))*(1-$K12)+IF((IF(12=4,0,F11))*(1-$K12)&lt;J12,(J12-(IF(12=4,0,F11))*(1-$K12))*Hypothèses!$B$10,0)),1)</f>
        <v>0</v>
      </c>
      <c r="G12">
        <f>(IF(B12=1,0,IF(B12=2,Hypothèses!$B$26,IF(B12=3,Hypothèses!$C$26,Hypothèses!$D$26)))+(IF(B12=1,Hypothèses!$B$26,IF(B12=2,Hypothèses!$C$26,IF(B12=3,Hypothèses!$D$26,Hypothèses!$D$26)))-(IF(B12=1,0,IF(B12=2,Hypothèses!$B$26,IF(B12=3,Hypothèses!$C$26,Hypothèses!$D$26)))))*((A12)-INT((A12-1)/12)*12)/12)*$B$1</f>
        <v>3.75</v>
      </c>
      <c r="H12">
        <f>(IF(B12=1,0,IF(B12=2,Hypothèses!$B$27,IF(B12=3,Hypothèses!$C$27,Hypothèses!$D$27)))+(IF(B12=1,Hypothèses!$B$27,IF(B12=2,Hypothèses!$C$27,IF(B12=3,Hypothèses!$D$27,Hypothèses!$D$27)))-(IF(B12=1,0,IF(B12=2,Hypothèses!$B$27,IF(B12=3,Hypothèses!$C$27,Hypothèses!$D$27)))))*((A12)-INT((A12-1)/12)*12)/12)*$B$1</f>
        <v>7.5</v>
      </c>
      <c r="I12">
        <f>(IF(B12=1,0,IF(B12=2,Hypothèses!$B$28,IF(B12=3,Hypothèses!$C$28,Hypothèses!$D$28)))+(IF(B12=1,Hypothèses!$B$28,IF(B12=2,Hypothèses!$C$28,IF(B12=3,Hypothèses!$D$28,Hypothèses!$D$28)))-(IF(B12=1,0,IF(B12=2,Hypothèses!$B$28,IF(B12=3,Hypothèses!$C$28,Hypothèses!$D$28)))))*((A12)-INT((A12-1)/12)*12)/12)*$B$1</f>
        <v>0</v>
      </c>
      <c r="J12">
        <f>(IF(B12=1,0,IF(B12=2,Hypothèses!$B$29,IF(B12=3,Hypothèses!$C$29,Hypothèses!$D$29)))+(IF(B12=1,Hypothèses!$B$29,IF(B12=2,Hypothèses!$C$29,IF(B12=3,Hypothèses!$D$29,Hypothèses!$D$29)))-(IF(B12=1,0,IF(B12=2,Hypothèses!$B$29,IF(B12=3,Hypothèses!$C$29,Hypothèses!$D$29)))))*((A12)-INT((A12-1)/12)*12)/12)*$B$1</f>
        <v>0</v>
      </c>
      <c r="K12">
        <f>IF(A12&lt;Hypothèses!$B$7,0,Hypothèses!$B$8*(1-Hypothèses!$B$9)^(A12-Hypothèses!$B$7))</f>
        <v>0.05</v>
      </c>
      <c r="L12">
        <f t="shared" si="1"/>
        <v>9.1</v>
      </c>
      <c r="M12">
        <f>(C12*Hypothèses!$B$11+D12*Hypothèses!$B$12+E12*Hypothèses!$B$13+F12*Hypothèses!$B$14)*(IF(B12=1,Hypothèses!$B$20,IF(B12=2,Hypothèses!$B$21,Hypothèses!$B$22))+(1-(IF(B12=1,Hypothèses!$B$20,IF(B12=2,Hypothèses!$B$21,Hypothèses!$B$22))))*11/12)</f>
        <v>1136.7033333333334</v>
      </c>
      <c r="N12">
        <f>L12*IF(B12=1,Hypothèses!$C$20,IF(B12=2,Hypothèses!$C$21,Hypothèses!$C$22))*IF(B12=1,Hypothèses!$D$20,IF(B12=2,Hypothèses!$D$21,Hypothèses!$D$22))</f>
        <v>9.1</v>
      </c>
      <c r="O12">
        <f>IF(A12=18,IF($B$2&gt;=1,Hypothèses!$B$33,0),IF(AND(OR(A12=30,A12=34),$D$2&gt;=1),Hypothèses!$B$34*MIN(1,$D$2/3),0))</f>
        <v>0</v>
      </c>
      <c r="P12">
        <f t="shared" si="2"/>
        <v>1145.8033333333333</v>
      </c>
      <c r="Q12">
        <f>P12/(1+Hypothèses!$B$6)</f>
        <v>954.83611111111111</v>
      </c>
      <c r="R12">
        <f>Hypothèses!$B$3*(1+Hypothèses!$B$4)^INT((A12-1)/3)</f>
        <v>661.24999999999989</v>
      </c>
      <c r="S12">
        <f t="shared" si="3"/>
        <v>0</v>
      </c>
      <c r="T12">
        <f>S12*Hypothèses!$B$17</f>
        <v>0</v>
      </c>
      <c r="U12">
        <f>Q12*Hypothèses!$B$5</f>
        <v>9.5483611111111113</v>
      </c>
      <c r="V12">
        <f t="shared" si="4"/>
        <v>284.03775000000013</v>
      </c>
      <c r="W12">
        <f t="shared" si="5"/>
        <v>1210.8592500000007</v>
      </c>
    </row>
    <row r="13" spans="1:23" x14ac:dyDescent="0.25">
      <c r="A13">
        <v>10</v>
      </c>
      <c r="B13">
        <f t="shared" si="0"/>
        <v>1</v>
      </c>
      <c r="C13">
        <f>ROUND(IF(MOD($A13,12)=0,G13,(IF(13=4,0,C12))*(1-$K13)+IF((IF(13=4,0,C12))*(1-$K13)&lt;G13,(G13-(IF(13=4,0,C12))*(1-$K13))*Hypothèses!$B$10,0)),1)</f>
        <v>3.4</v>
      </c>
      <c r="D13">
        <f>ROUND(IF(MOD($A13,12)=0,H13,(IF(13=4,0,D12))*(1-$K13)+IF((IF(13=4,0,D12))*(1-$K13)&lt;H13,(H13-(IF(13=4,0,D12))*(1-$K13))*Hypothèses!$B$10,0)),1)</f>
        <v>6.8</v>
      </c>
      <c r="E13">
        <f>ROUND(IF(MOD($A13,12)=0,I13,(IF(13=4,0,E12))*(1-$K13)+IF((IF(13=4,0,E12))*(1-$K13)&lt;I13,(I13-(IF(13=4,0,E12))*(1-$K13))*Hypothèses!$B$10,0)),1)</f>
        <v>0</v>
      </c>
      <c r="F13">
        <f>ROUND(IF(MOD($A13,12)=0,J13,(IF(13=4,0,F12))*(1-$K13)+IF((IF(13=4,0,F12))*(1-$K13)&lt;J13,(J13-(IF(13=4,0,F12))*(1-$K13))*Hypothèses!$B$10,0)),1)</f>
        <v>0</v>
      </c>
      <c r="G13">
        <f>(IF(B13=1,0,IF(B13=2,Hypothèses!$B$26,IF(B13=3,Hypothèses!$C$26,Hypothèses!$D$26)))+(IF(B13=1,Hypothèses!$B$26,IF(B13=2,Hypothèses!$C$26,IF(B13=3,Hypothèses!$D$26,Hypothèses!$D$26)))-(IF(B13=1,0,IF(B13=2,Hypothèses!$B$26,IF(B13=3,Hypothèses!$C$26,Hypothèses!$D$26)))))*((A13)-INT((A13-1)/12)*12)/12)*$B$1</f>
        <v>4.166666666666667</v>
      </c>
      <c r="H13">
        <f>(IF(B13=1,0,IF(B13=2,Hypothèses!$B$27,IF(B13=3,Hypothèses!$C$27,Hypothèses!$D$27)))+(IF(B13=1,Hypothèses!$B$27,IF(B13=2,Hypothèses!$C$27,IF(B13=3,Hypothèses!$D$27,Hypothèses!$D$27)))-(IF(B13=1,0,IF(B13=2,Hypothèses!$B$27,IF(B13=3,Hypothèses!$C$27,Hypothèses!$D$27)))))*((A13)-INT((A13-1)/12)*12)/12)*$B$1</f>
        <v>8.3333333333333339</v>
      </c>
      <c r="I13">
        <f>(IF(B13=1,0,IF(B13=2,Hypothèses!$B$28,IF(B13=3,Hypothèses!$C$28,Hypothèses!$D$28)))+(IF(B13=1,Hypothèses!$B$28,IF(B13=2,Hypothèses!$C$28,IF(B13=3,Hypothèses!$D$28,Hypothèses!$D$28)))-(IF(B13=1,0,IF(B13=2,Hypothèses!$B$28,IF(B13=3,Hypothèses!$C$28,Hypothèses!$D$28)))))*((A13)-INT((A13-1)/12)*12)/12)*$B$1</f>
        <v>0</v>
      </c>
      <c r="J13">
        <f>(IF(B13=1,0,IF(B13=2,Hypothèses!$B$29,IF(B13=3,Hypothèses!$C$29,Hypothèses!$D$29)))+(IF(B13=1,Hypothèses!$B$29,IF(B13=2,Hypothèses!$C$29,IF(B13=3,Hypothèses!$D$29,Hypothèses!$D$29)))-(IF(B13=1,0,IF(B13=2,Hypothèses!$B$29,IF(B13=3,Hypothèses!$C$29,Hypothèses!$D$29)))))*((A13)-INT((A13-1)/12)*12)/12)*$B$1</f>
        <v>0</v>
      </c>
      <c r="K13">
        <f>IF(A13&lt;Hypothèses!$B$7,0,Hypothèses!$B$8*(1-Hypothèses!$B$9)^(A13-Hypothèses!$B$7))</f>
        <v>4.5000000000000005E-2</v>
      </c>
      <c r="L13">
        <f t="shared" si="1"/>
        <v>10.199999999999999</v>
      </c>
      <c r="M13">
        <f>(C13*Hypothèses!$B$11+D13*Hypothèses!$B$12+E13*Hypothèses!$B$13+F13*Hypothèses!$B$14)*(IF(B13=1,Hypothèses!$B$20,IF(B13=2,Hypothèses!$B$21,Hypothèses!$B$22))+(1-(IF(B13=1,Hypothèses!$B$20,IF(B13=2,Hypothèses!$B$21,Hypothèses!$B$22))))*11/12)</f>
        <v>1271.94</v>
      </c>
      <c r="N13">
        <f>L13*IF(B13=1,Hypothèses!$C$20,IF(B13=2,Hypothèses!$C$21,Hypothèses!$C$22))*IF(B13=1,Hypothèses!$D$20,IF(B13=2,Hypothèses!$D$21,Hypothèses!$D$22))</f>
        <v>10.199999999999999</v>
      </c>
      <c r="O13">
        <f>IF(A13=18,IF($B$2&gt;=1,Hypothèses!$B$33,0),IF(AND(OR(A13=30,A13=34),$D$2&gt;=1),Hypothèses!$B$34*MIN(1,$D$2/3),0))</f>
        <v>0</v>
      </c>
      <c r="P13">
        <f t="shared" si="2"/>
        <v>1282.1400000000001</v>
      </c>
      <c r="Q13">
        <f>P13/(1+Hypothèses!$B$6)</f>
        <v>1068.45</v>
      </c>
      <c r="R13">
        <f>Hypothèses!$B$3*(1+Hypothèses!$B$4)^INT((A13-1)/3)</f>
        <v>760.43749999999977</v>
      </c>
      <c r="S13">
        <f t="shared" si="3"/>
        <v>0</v>
      </c>
      <c r="T13">
        <f>S13*Hypothèses!$B$17</f>
        <v>0</v>
      </c>
      <c r="U13">
        <f>Q13*Hypothèses!$B$5</f>
        <v>10.6845</v>
      </c>
      <c r="V13">
        <f t="shared" si="4"/>
        <v>297.32800000000026</v>
      </c>
      <c r="W13">
        <f t="shared" si="5"/>
        <v>1508.1872500000009</v>
      </c>
    </row>
    <row r="14" spans="1:23" x14ac:dyDescent="0.25">
      <c r="A14">
        <v>11</v>
      </c>
      <c r="B14">
        <f t="shared" si="0"/>
        <v>1</v>
      </c>
      <c r="C14">
        <f>ROUND(IF(MOD($A14,12)=0,G14,(IF(14=4,0,C13))*(1-$K14)+IF((IF(14=4,0,C13))*(1-$K14)&lt;G14,(G14-(IF(14=4,0,C13))*(1-$K14))*Hypothèses!$B$10,0)),1)</f>
        <v>3.8</v>
      </c>
      <c r="D14">
        <f>ROUND(IF(MOD($A14,12)=0,H14,(IF(14=4,0,D13))*(1-$K14)+IF((IF(14=4,0,D13))*(1-$K14)&lt;H14,(H14-(IF(14=4,0,D13))*(1-$K14))*Hypothèses!$B$10,0)),1)</f>
        <v>7.6</v>
      </c>
      <c r="E14">
        <f>ROUND(IF(MOD($A14,12)=0,I14,(IF(14=4,0,E13))*(1-$K14)+IF((IF(14=4,0,E13))*(1-$K14)&lt;I14,(I14-(IF(14=4,0,E13))*(1-$K14))*Hypothèses!$B$10,0)),1)</f>
        <v>0</v>
      </c>
      <c r="F14">
        <f>ROUND(IF(MOD($A14,12)=0,J14,(IF(14=4,0,F13))*(1-$K14)+IF((IF(14=4,0,F13))*(1-$K14)&lt;J14,(J14-(IF(14=4,0,F13))*(1-$K14))*Hypothèses!$B$10,0)),1)</f>
        <v>0</v>
      </c>
      <c r="G14">
        <f>(IF(B14=1,0,IF(B14=2,Hypothèses!$B$26,IF(B14=3,Hypothèses!$C$26,Hypothèses!$D$26)))+(IF(B14=1,Hypothèses!$B$26,IF(B14=2,Hypothèses!$C$26,IF(B14=3,Hypothèses!$D$26,Hypothèses!$D$26)))-(IF(B14=1,0,IF(B14=2,Hypothèses!$B$26,IF(B14=3,Hypothèses!$C$26,Hypothèses!$D$26)))))*((A14)-INT((A14-1)/12)*12)/12)*$B$1</f>
        <v>4.583333333333333</v>
      </c>
      <c r="H14">
        <f>(IF(B14=1,0,IF(B14=2,Hypothèses!$B$27,IF(B14=3,Hypothèses!$C$27,Hypothèses!$D$27)))+(IF(B14=1,Hypothèses!$B$27,IF(B14=2,Hypothèses!$C$27,IF(B14=3,Hypothèses!$D$27,Hypothèses!$D$27)))-(IF(B14=1,0,IF(B14=2,Hypothèses!$B$27,IF(B14=3,Hypothèses!$C$27,Hypothèses!$D$27)))))*((A14)-INT((A14-1)/12)*12)/12)*$B$1</f>
        <v>9.1666666666666661</v>
      </c>
      <c r="I14">
        <f>(IF(B14=1,0,IF(B14=2,Hypothèses!$B$28,IF(B14=3,Hypothèses!$C$28,Hypothèses!$D$28)))+(IF(B14=1,Hypothèses!$B$28,IF(B14=2,Hypothèses!$C$28,IF(B14=3,Hypothèses!$D$28,Hypothèses!$D$28)))-(IF(B14=1,0,IF(B14=2,Hypothèses!$B$28,IF(B14=3,Hypothèses!$C$28,Hypothèses!$D$28)))))*((A14)-INT((A14-1)/12)*12)/12)*$B$1</f>
        <v>0</v>
      </c>
      <c r="J14">
        <f>(IF(B14=1,0,IF(B14=2,Hypothèses!$B$29,IF(B14=3,Hypothèses!$C$29,Hypothèses!$D$29)))+(IF(B14=1,Hypothèses!$B$29,IF(B14=2,Hypothèses!$C$29,IF(B14=3,Hypothèses!$D$29,Hypothèses!$D$29)))-(IF(B14=1,0,IF(B14=2,Hypothèses!$B$29,IF(B14=3,Hypothèses!$C$29,Hypothèses!$D$29)))))*((A14)-INT((A14-1)/12)*12)/12)*$B$1</f>
        <v>0</v>
      </c>
      <c r="K14">
        <f>IF(A14&lt;Hypothèses!$B$7,0,Hypothèses!$B$8*(1-Hypothèses!$B$9)^(A14-Hypothèses!$B$7))</f>
        <v>4.0500000000000008E-2</v>
      </c>
      <c r="L14">
        <f t="shared" si="1"/>
        <v>11.399999999999999</v>
      </c>
      <c r="M14">
        <f>(C14*Hypothèses!$B$11+D14*Hypothèses!$B$12+E14*Hypothèses!$B$13+F14*Hypothèses!$B$14)*(IF(B14=1,Hypothèses!$B$20,IF(B14=2,Hypothèses!$B$21,Hypothèses!$B$22))+(1-(IF(B14=1,Hypothèses!$B$20,IF(B14=2,Hypothèses!$B$21,Hypothèses!$B$22))))*11/12)</f>
        <v>1421.58</v>
      </c>
      <c r="N14">
        <f>L14*IF(B14=1,Hypothèses!$C$20,IF(B14=2,Hypothèses!$C$21,Hypothèses!$C$22))*IF(B14=1,Hypothèses!$D$20,IF(B14=2,Hypothèses!$D$21,Hypothèses!$D$22))</f>
        <v>11.399999999999999</v>
      </c>
      <c r="O14">
        <f>IF(A14=18,IF($B$2&gt;=1,Hypothèses!$B$33,0),IF(AND(OR(A14=30,A14=34),$D$2&gt;=1),Hypothèses!$B$34*MIN(1,$D$2/3),0))</f>
        <v>0</v>
      </c>
      <c r="P14">
        <f t="shared" si="2"/>
        <v>1432.98</v>
      </c>
      <c r="Q14">
        <f>P14/(1+Hypothèses!$B$6)</f>
        <v>1194.1500000000001</v>
      </c>
      <c r="R14">
        <f>Hypothèses!$B$3*(1+Hypothèses!$B$4)^INT((A14-1)/3)</f>
        <v>760.43749999999977</v>
      </c>
      <c r="S14">
        <f t="shared" si="3"/>
        <v>0</v>
      </c>
      <c r="T14">
        <f>S14*Hypothèses!$B$17</f>
        <v>0</v>
      </c>
      <c r="U14">
        <f>Q14*Hypothèses!$B$5</f>
        <v>11.941500000000001</v>
      </c>
      <c r="V14">
        <f t="shared" si="4"/>
        <v>421.7710000000003</v>
      </c>
      <c r="W14">
        <f t="shared" si="5"/>
        <v>1929.958250000001</v>
      </c>
    </row>
    <row r="15" spans="1:23" x14ac:dyDescent="0.25">
      <c r="A15">
        <v>12</v>
      </c>
      <c r="B15">
        <f t="shared" si="0"/>
        <v>1</v>
      </c>
      <c r="C15">
        <f>ROUND(IF(MOD($A15,12)=0,G15,(IF(15=4,0,C14))*(1-$K15)+IF((IF(15=4,0,C14))*(1-$K15)&lt;G15,(G15-(IF(15=4,0,C14))*(1-$K15))*Hypothèses!$B$10,0)),1)</f>
        <v>5</v>
      </c>
      <c r="D15">
        <f>ROUND(IF(MOD($A15,12)=0,H15,(IF(15=4,0,D14))*(1-$K15)+IF((IF(15=4,0,D14))*(1-$K15)&lt;H15,(H15-(IF(15=4,0,D14))*(1-$K15))*Hypothèses!$B$10,0)),1)</f>
        <v>10</v>
      </c>
      <c r="E15">
        <f>ROUND(IF(MOD($A15,12)=0,I15,(IF(15=4,0,E14))*(1-$K15)+IF((IF(15=4,0,E14))*(1-$K15)&lt;I15,(I15-(IF(15=4,0,E14))*(1-$K15))*Hypothèses!$B$10,0)),1)</f>
        <v>0</v>
      </c>
      <c r="F15">
        <f>ROUND(IF(MOD($A15,12)=0,J15,(IF(15=4,0,F14))*(1-$K15)+IF((IF(15=4,0,F14))*(1-$K15)&lt;J15,(J15-(IF(15=4,0,F14))*(1-$K15))*Hypothèses!$B$10,0)),1)</f>
        <v>0</v>
      </c>
      <c r="G15">
        <f>(IF(B15=1,0,IF(B15=2,Hypothèses!$B$26,IF(B15=3,Hypothèses!$C$26,Hypothèses!$D$26)))+(IF(B15=1,Hypothèses!$B$26,IF(B15=2,Hypothèses!$C$26,IF(B15=3,Hypothèses!$D$26,Hypothèses!$D$26)))-(IF(B15=1,0,IF(B15=2,Hypothèses!$B$26,IF(B15=3,Hypothèses!$C$26,Hypothèses!$D$26)))))*((A15)-INT((A15-1)/12)*12)/12)*$B$1</f>
        <v>5</v>
      </c>
      <c r="H15">
        <f>(IF(B15=1,0,IF(B15=2,Hypothèses!$B$27,IF(B15=3,Hypothèses!$C$27,Hypothèses!$D$27)))+(IF(B15=1,Hypothèses!$B$27,IF(B15=2,Hypothèses!$C$27,IF(B15=3,Hypothèses!$D$27,Hypothèses!$D$27)))-(IF(B15=1,0,IF(B15=2,Hypothèses!$B$27,IF(B15=3,Hypothèses!$C$27,Hypothèses!$D$27)))))*((A15)-INT((A15-1)/12)*12)/12)*$B$1</f>
        <v>10</v>
      </c>
      <c r="I15">
        <f>(IF(B15=1,0,IF(B15=2,Hypothèses!$B$28,IF(B15=3,Hypothèses!$C$28,Hypothèses!$D$28)))+(IF(B15=1,Hypothèses!$B$28,IF(B15=2,Hypothèses!$C$28,IF(B15=3,Hypothèses!$D$28,Hypothèses!$D$28)))-(IF(B15=1,0,IF(B15=2,Hypothèses!$B$28,IF(B15=3,Hypothèses!$C$28,Hypothèses!$D$28)))))*((A15)-INT((A15-1)/12)*12)/12)*$B$1</f>
        <v>0</v>
      </c>
      <c r="J15">
        <f>(IF(B15=1,0,IF(B15=2,Hypothèses!$B$29,IF(B15=3,Hypothèses!$C$29,Hypothèses!$D$29)))+(IF(B15=1,Hypothèses!$B$29,IF(B15=2,Hypothèses!$C$29,IF(B15=3,Hypothèses!$D$29,Hypothèses!$D$29)))-(IF(B15=1,0,IF(B15=2,Hypothèses!$B$29,IF(B15=3,Hypothèses!$C$29,Hypothèses!$D$29)))))*((A15)-INT((A15-1)/12)*12)/12)*$B$1</f>
        <v>0</v>
      </c>
      <c r="K15">
        <f>IF(A15&lt;Hypothèses!$B$7,0,Hypothèses!$B$8*(1-Hypothèses!$B$9)^(A15-Hypothèses!$B$7))</f>
        <v>3.6450000000000003E-2</v>
      </c>
      <c r="L15">
        <f t="shared" si="1"/>
        <v>15</v>
      </c>
      <c r="M15">
        <f>(C15*Hypothèses!$B$11+D15*Hypothèses!$B$12+E15*Hypothèses!$B$13+F15*Hypothèses!$B$14)*(IF(B15=1,Hypothèses!$B$20,IF(B15=2,Hypothèses!$B$21,Hypothèses!$B$22))+(1-(IF(B15=1,Hypothèses!$B$20,IF(B15=2,Hypothèses!$B$21,Hypothèses!$B$22))))*11/12)</f>
        <v>1870.5</v>
      </c>
      <c r="N15">
        <f>L15*IF(B15=1,Hypothèses!$C$20,IF(B15=2,Hypothèses!$C$21,Hypothèses!$C$22))*IF(B15=1,Hypothèses!$D$20,IF(B15=2,Hypothèses!$D$21,Hypothèses!$D$22))</f>
        <v>15</v>
      </c>
      <c r="O15">
        <f>IF(A15=18,IF($B$2&gt;=1,Hypothèses!$B$33,0),IF(AND(OR(A15=30,A15=34),$D$2&gt;=1),Hypothèses!$B$34*MIN(1,$D$2/3),0))</f>
        <v>0</v>
      </c>
      <c r="P15">
        <f t="shared" si="2"/>
        <v>1885.5</v>
      </c>
      <c r="Q15">
        <f>P15/(1+Hypothèses!$B$6)</f>
        <v>1571.25</v>
      </c>
      <c r="R15">
        <f>Hypothèses!$B$3*(1+Hypothèses!$B$4)^INT((A15-1)/3)</f>
        <v>760.43749999999977</v>
      </c>
      <c r="S15">
        <f t="shared" si="3"/>
        <v>0</v>
      </c>
      <c r="T15">
        <f>S15*Hypothèses!$B$17</f>
        <v>0</v>
      </c>
      <c r="U15">
        <f>Q15*Hypothèses!$B$5</f>
        <v>15.7125</v>
      </c>
      <c r="V15">
        <f t="shared" si="4"/>
        <v>795.10000000000025</v>
      </c>
      <c r="W15">
        <f t="shared" si="5"/>
        <v>2725.0582500000014</v>
      </c>
    </row>
    <row r="16" spans="1:23" x14ac:dyDescent="0.25">
      <c r="A16">
        <v>13</v>
      </c>
      <c r="B16">
        <f t="shared" si="0"/>
        <v>2</v>
      </c>
      <c r="C16">
        <f>ROUND(IF(MOD($A16,12)=0,G16,(IF(16=4,0,C15))*(1-$K16)+IF((IF(16=4,0,C15))*(1-$K16)&lt;G16,(G16-(IF(16=4,0,C15))*(1-$K16))*Hypothèses!$B$10,0)),1)</f>
        <v>5.0999999999999996</v>
      </c>
      <c r="D16">
        <f>ROUND(IF(MOD($A16,12)=0,H16,(IF(16=4,0,D15))*(1-$K16)+IF((IF(16=4,0,D15))*(1-$K16)&lt;H16,(H16-(IF(16=4,0,D15))*(1-$K16))*Hypothèses!$B$10,0)),1)</f>
        <v>10.6</v>
      </c>
      <c r="E16">
        <f>ROUND(IF(MOD($A16,12)=0,I16,(IF(16=4,0,E15))*(1-$K16)+IF((IF(16=4,0,E15))*(1-$K16)&lt;I16,(I16-(IF(16=4,0,E15))*(1-$K16))*Hypothèses!$B$10,0)),1)</f>
        <v>0</v>
      </c>
      <c r="F16">
        <f>ROUND(IF(MOD($A16,12)=0,J16,(IF(16=4,0,F15))*(1-$K16)+IF((IF(16=4,0,F15))*(1-$K16)&lt;J16,(J16-(IF(16=4,0,F15))*(1-$K16))*Hypothèses!$B$10,0)),1)</f>
        <v>0</v>
      </c>
      <c r="G16">
        <f>(IF(B16=1,0,IF(B16=2,Hypothèses!$B$26,IF(B16=3,Hypothèses!$C$26,Hypothèses!$D$26)))+(IF(B16=1,Hypothèses!$B$26,IF(B16=2,Hypothèses!$C$26,IF(B16=3,Hypothèses!$D$26,Hypothèses!$D$26)))-(IF(B16=1,0,IF(B16=2,Hypothèses!$B$26,IF(B16=3,Hypothèses!$C$26,Hypothèses!$D$26)))))*((A16)-INT((A16-1)/12)*12)/12)*$B$1</f>
        <v>5.416666666666667</v>
      </c>
      <c r="H16">
        <f>(IF(B16=1,0,IF(B16=2,Hypothèses!$B$27,IF(B16=3,Hypothèses!$C$27,Hypothèses!$D$27)))+(IF(B16=1,Hypothèses!$B$27,IF(B16=2,Hypothèses!$C$27,IF(B16=3,Hypothèses!$D$27,Hypothèses!$D$27)))-(IF(B16=1,0,IF(B16=2,Hypothèses!$B$27,IF(B16=3,Hypothèses!$C$27,Hypothèses!$D$27)))))*((A16)-INT((A16-1)/12)*12)/12)*$B$1</f>
        <v>12.083333333333334</v>
      </c>
      <c r="I16">
        <f>(IF(B16=1,0,IF(B16=2,Hypothèses!$B$28,IF(B16=3,Hypothèses!$C$28,Hypothèses!$D$28)))+(IF(B16=1,Hypothèses!$B$28,IF(B16=2,Hypothèses!$C$28,IF(B16=3,Hypothèses!$D$28,Hypothèses!$D$28)))-(IF(B16=1,0,IF(B16=2,Hypothèses!$B$28,IF(B16=3,Hypothèses!$C$28,Hypothèses!$D$28)))))*((A16)-INT((A16-1)/12)*12)/12)*$B$1</f>
        <v>8.3333333333333329E-2</v>
      </c>
      <c r="J16">
        <f>(IF(B16=1,0,IF(B16=2,Hypothèses!$B$29,IF(B16=3,Hypothèses!$C$29,Hypothèses!$D$29)))+(IF(B16=1,Hypothèses!$B$29,IF(B16=2,Hypothèses!$C$29,IF(B16=3,Hypothèses!$D$29,Hypothèses!$D$29)))-(IF(B16=1,0,IF(B16=2,Hypothèses!$B$29,IF(B16=3,Hypothèses!$C$29,Hypothèses!$D$29)))))*((A16)-INT((A16-1)/12)*12)/12)*$B$1</f>
        <v>8.3333333333333329E-2</v>
      </c>
      <c r="K16">
        <f>IF(A16&lt;Hypothèses!$B$7,0,Hypothèses!$B$8*(1-Hypothèses!$B$9)^(A16-Hypothèses!$B$7))</f>
        <v>3.2805000000000008E-2</v>
      </c>
      <c r="L16">
        <f t="shared" si="1"/>
        <v>15.7</v>
      </c>
      <c r="M16">
        <f>(C16*Hypothèses!$B$11+D16*Hypothèses!$B$12+E16*Hypothèses!$B$13+F16*Hypothèses!$B$14)*(IF(B16=1,Hypothèses!$B$20,IF(B16=2,Hypothèses!$B$21,Hypothèses!$B$22))+(1-(IF(B16=1,Hypothèses!$B$20,IF(B16=2,Hypothèses!$B$21,Hypothèses!$B$22))))*11/12)</f>
        <v>1948.5791666666662</v>
      </c>
      <c r="N16">
        <f>L16*IF(B16=1,Hypothèses!$C$20,IF(B16=2,Hypothèses!$C$21,Hypothèses!$C$22))*IF(B16=1,Hypothèses!$D$20,IF(B16=2,Hypothèses!$D$21,Hypothèses!$D$22))</f>
        <v>39.25</v>
      </c>
      <c r="O16">
        <f>IF(A16=18,IF($B$2&gt;=1,Hypothèses!$B$33,0),IF(AND(OR(A16=30,A16=34),$D$2&gt;=1),Hypothèses!$B$34*MIN(1,$D$2/3),0))</f>
        <v>0</v>
      </c>
      <c r="P16">
        <f t="shared" si="2"/>
        <v>1987.8291666666662</v>
      </c>
      <c r="Q16">
        <f>P16/(1+Hypothèses!$B$6)</f>
        <v>1656.5243055555552</v>
      </c>
      <c r="R16">
        <f>Hypothèses!$B$3*(1+Hypothèses!$B$4)^INT((A16-1)/3)</f>
        <v>874.50312499999973</v>
      </c>
      <c r="S16">
        <f t="shared" si="3"/>
        <v>1</v>
      </c>
      <c r="T16">
        <f>S16*Hypothèses!$B$17</f>
        <v>4500</v>
      </c>
      <c r="U16">
        <f>Q16*Hypothèses!$B$5</f>
        <v>16.565243055555552</v>
      </c>
      <c r="V16">
        <f t="shared" si="4"/>
        <v>-3734.5440625000001</v>
      </c>
      <c r="W16">
        <f t="shared" si="5"/>
        <v>-1009.4858124999987</v>
      </c>
    </row>
    <row r="17" spans="1:23" x14ac:dyDescent="0.25">
      <c r="A17">
        <v>14</v>
      </c>
      <c r="B17">
        <f t="shared" si="0"/>
        <v>2</v>
      </c>
      <c r="C17">
        <f>ROUND(IF(MOD($A17,12)=0,G17,(IF(17=4,0,C16))*(1-$K17)+IF((IF(17=4,0,C16))*(1-$K17)&lt;G17,(G17-(IF(17=4,0,C16))*(1-$K17))*Hypothèses!$B$10,0)),1)</f>
        <v>5.3</v>
      </c>
      <c r="D17">
        <f>ROUND(IF(MOD($A17,12)=0,H17,(IF(17=4,0,D16))*(1-$K17)+IF((IF(17=4,0,D16))*(1-$K17)&lt;H17,(H17-(IF(17=4,0,D16))*(1-$K17))*Hypothèses!$B$10,0)),1)</f>
        <v>11.8</v>
      </c>
      <c r="E17">
        <f>ROUND(IF(MOD($A17,12)=0,I17,(IF(17=4,0,E16))*(1-$K17)+IF((IF(17=4,0,E16))*(1-$K17)&lt;I17,(I17-(IF(17=4,0,E16))*(1-$K17))*Hypothèses!$B$10,0)),1)</f>
        <v>0.1</v>
      </c>
      <c r="F17">
        <f>ROUND(IF(MOD($A17,12)=0,J17,(IF(17=4,0,F16))*(1-$K17)+IF((IF(17=4,0,F16))*(1-$K17)&lt;J17,(J17-(IF(17=4,0,F16))*(1-$K17))*Hypothèses!$B$10,0)),1)</f>
        <v>0.1</v>
      </c>
      <c r="G17">
        <f>(IF(B17=1,0,IF(B17=2,Hypothèses!$B$26,IF(B17=3,Hypothèses!$C$26,Hypothèses!$D$26)))+(IF(B17=1,Hypothèses!$B$26,IF(B17=2,Hypothèses!$C$26,IF(B17=3,Hypothèses!$D$26,Hypothèses!$D$26)))-(IF(B17=1,0,IF(B17=2,Hypothèses!$B$26,IF(B17=3,Hypothèses!$C$26,Hypothèses!$D$26)))))*((A17)-INT((A17-1)/12)*12)/12)*$B$1</f>
        <v>5.833333333333333</v>
      </c>
      <c r="H17">
        <f>(IF(B17=1,0,IF(B17=2,Hypothèses!$B$27,IF(B17=3,Hypothèses!$C$27,Hypothèses!$D$27)))+(IF(B17=1,Hypothèses!$B$27,IF(B17=2,Hypothèses!$C$27,IF(B17=3,Hypothèses!$D$27,Hypothèses!$D$27)))-(IF(B17=1,0,IF(B17=2,Hypothèses!$B$27,IF(B17=3,Hypothèses!$C$27,Hypothèses!$D$27)))))*((A17)-INT((A17-1)/12)*12)/12)*$B$1</f>
        <v>14.166666666666668</v>
      </c>
      <c r="I17">
        <f>(IF(B17=1,0,IF(B17=2,Hypothèses!$B$28,IF(B17=3,Hypothèses!$C$28,Hypothèses!$D$28)))+(IF(B17=1,Hypothèses!$B$28,IF(B17=2,Hypothèses!$C$28,IF(B17=3,Hypothèses!$D$28,Hypothèses!$D$28)))-(IF(B17=1,0,IF(B17=2,Hypothèses!$B$28,IF(B17=3,Hypothèses!$C$28,Hypothèses!$D$28)))))*((A17)-INT((A17-1)/12)*12)/12)*$B$1</f>
        <v>0.16666666666666666</v>
      </c>
      <c r="J17">
        <f>(IF(B17=1,0,IF(B17=2,Hypothèses!$B$29,IF(B17=3,Hypothèses!$C$29,Hypothèses!$D$29)))+(IF(B17=1,Hypothèses!$B$29,IF(B17=2,Hypothèses!$C$29,IF(B17=3,Hypothèses!$D$29,Hypothèses!$D$29)))-(IF(B17=1,0,IF(B17=2,Hypothèses!$B$29,IF(B17=3,Hypothèses!$C$29,Hypothèses!$D$29)))))*((A17)-INT((A17-1)/12)*12)/12)*$B$1</f>
        <v>0.16666666666666666</v>
      </c>
      <c r="K17">
        <f>IF(A17&lt;Hypothèses!$B$7,0,Hypothèses!$B$8*(1-Hypothèses!$B$9)^(A17-Hypothèses!$B$7))</f>
        <v>2.9524500000000009E-2</v>
      </c>
      <c r="L17">
        <f t="shared" si="1"/>
        <v>17.300000000000004</v>
      </c>
      <c r="M17">
        <f>(C17*Hypothèses!$B$11+D17*Hypothèses!$B$12+E17*Hypothèses!$B$13+F17*Hypothèses!$B$14)*(IF(B17=1,Hypothèses!$B$20,IF(B17=2,Hypothèses!$B$21,Hypothèses!$B$22))+(1-(IF(B17=1,Hypothèses!$B$20,IF(B17=2,Hypothèses!$B$21,Hypothèses!$B$22))))*11/12)</f>
        <v>2279.6833333333334</v>
      </c>
      <c r="N17">
        <f>L17*IF(B17=1,Hypothèses!$C$20,IF(B17=2,Hypothèses!$C$21,Hypothèses!$C$22))*IF(B17=1,Hypothèses!$D$20,IF(B17=2,Hypothèses!$D$21,Hypothèses!$D$22))</f>
        <v>43.250000000000014</v>
      </c>
      <c r="O17">
        <f>IF(A17=18,IF($B$2&gt;=1,Hypothèses!$B$33,0),IF(AND(OR(A17=30,A17=34),$D$2&gt;=1),Hypothèses!$B$34*MIN(1,$D$2/3),0))</f>
        <v>0</v>
      </c>
      <c r="P17">
        <f t="shared" si="2"/>
        <v>2322.9333333333334</v>
      </c>
      <c r="Q17">
        <f>P17/(1+Hypothèses!$B$6)</f>
        <v>1935.7777777777778</v>
      </c>
      <c r="R17">
        <f>Hypothèses!$B$3*(1+Hypothèses!$B$4)^INT((A17-1)/3)</f>
        <v>874.50312499999973</v>
      </c>
      <c r="S17">
        <f t="shared" si="3"/>
        <v>1</v>
      </c>
      <c r="T17">
        <f>S17*Hypothèses!$B$17</f>
        <v>4500</v>
      </c>
      <c r="U17">
        <f>Q17*Hypothèses!$B$5</f>
        <v>19.35777777777778</v>
      </c>
      <c r="V17">
        <f t="shared" si="4"/>
        <v>-3458.0831249999997</v>
      </c>
      <c r="W17">
        <f t="shared" si="5"/>
        <v>-4467.5689374999984</v>
      </c>
    </row>
    <row r="18" spans="1:23" x14ac:dyDescent="0.25">
      <c r="A18">
        <v>15</v>
      </c>
      <c r="B18">
        <f t="shared" si="0"/>
        <v>2</v>
      </c>
      <c r="C18">
        <f>ROUND(IF(MOD($A18,12)=0,G18,(IF(18=4,0,C17))*(1-$K18)+IF((IF(18=4,0,C17))*(1-$K18)&lt;G18,(G18-(IF(18=4,0,C17))*(1-$K18))*Hypothèses!$B$10,0)),1)</f>
        <v>5.6</v>
      </c>
      <c r="D18">
        <f>ROUND(IF(MOD($A18,12)=0,H18,(IF(18=4,0,D17))*(1-$K18)+IF((IF(18=4,0,D17))*(1-$K18)&lt;H18,(H18-(IF(18=4,0,D17))*(1-$K18))*Hypothèses!$B$10,0)),1)</f>
        <v>13.4</v>
      </c>
      <c r="E18">
        <f>ROUND(IF(MOD($A18,12)=0,I18,(IF(18=4,0,E17))*(1-$K18)+IF((IF(18=4,0,E17))*(1-$K18)&lt;I18,(I18-(IF(18=4,0,E17))*(1-$K18))*Hypothèses!$B$10,0)),1)</f>
        <v>0.2</v>
      </c>
      <c r="F18">
        <f>ROUND(IF(MOD($A18,12)=0,J18,(IF(18=4,0,F17))*(1-$K18)+IF((IF(18=4,0,F17))*(1-$K18)&lt;J18,(J18-(IF(18=4,0,F17))*(1-$K18))*Hypothèses!$B$10,0)),1)</f>
        <v>0.2</v>
      </c>
      <c r="G18">
        <f>(IF(B18=1,0,IF(B18=2,Hypothèses!$B$26,IF(B18=3,Hypothèses!$C$26,Hypothèses!$D$26)))+(IF(B18=1,Hypothèses!$B$26,IF(B18=2,Hypothèses!$C$26,IF(B18=3,Hypothèses!$D$26,Hypothèses!$D$26)))-(IF(B18=1,0,IF(B18=2,Hypothèses!$B$26,IF(B18=3,Hypothèses!$C$26,Hypothèses!$D$26)))))*((A18)-INT((A18-1)/12)*12)/12)*$B$1</f>
        <v>6.25</v>
      </c>
      <c r="H18">
        <f>(IF(B18=1,0,IF(B18=2,Hypothèses!$B$27,IF(B18=3,Hypothèses!$C$27,Hypothèses!$D$27)))+(IF(B18=1,Hypothèses!$B$27,IF(B18=2,Hypothèses!$C$27,IF(B18=3,Hypothèses!$D$27,Hypothèses!$D$27)))-(IF(B18=1,0,IF(B18=2,Hypothèses!$B$27,IF(B18=3,Hypothèses!$C$27,Hypothèses!$D$27)))))*((A18)-INT((A18-1)/12)*12)/12)*$B$1</f>
        <v>16.25</v>
      </c>
      <c r="I18">
        <f>(IF(B18=1,0,IF(B18=2,Hypothèses!$B$28,IF(B18=3,Hypothèses!$C$28,Hypothèses!$D$28)))+(IF(B18=1,Hypothèses!$B$28,IF(B18=2,Hypothèses!$C$28,IF(B18=3,Hypothèses!$D$28,Hypothèses!$D$28)))-(IF(B18=1,0,IF(B18=2,Hypothèses!$B$28,IF(B18=3,Hypothèses!$C$28,Hypothèses!$D$28)))))*((A18)-INT((A18-1)/12)*12)/12)*$B$1</f>
        <v>0.25</v>
      </c>
      <c r="J18">
        <f>(IF(B18=1,0,IF(B18=2,Hypothèses!$B$29,IF(B18=3,Hypothèses!$C$29,Hypothèses!$D$29)))+(IF(B18=1,Hypothèses!$B$29,IF(B18=2,Hypothèses!$C$29,IF(B18=3,Hypothèses!$D$29,Hypothèses!$D$29)))-(IF(B18=1,0,IF(B18=2,Hypothèses!$B$29,IF(B18=3,Hypothèses!$C$29,Hypothèses!$D$29)))))*((A18)-INT((A18-1)/12)*12)/12)*$B$1</f>
        <v>0.25</v>
      </c>
      <c r="K18">
        <f>IF(A18&lt;Hypothèses!$B$7,0,Hypothèses!$B$8*(1-Hypothèses!$B$9)^(A18-Hypothèses!$B$7))</f>
        <v>2.657205000000001E-2</v>
      </c>
      <c r="L18">
        <f t="shared" si="1"/>
        <v>19.399999999999999</v>
      </c>
      <c r="M18">
        <f>(C18*Hypothèses!$B$11+D18*Hypothèses!$B$12+E18*Hypothèses!$B$13+F18*Hypothèses!$B$14)*(IF(B18=1,Hypothèses!$B$20,IF(B18=2,Hypothèses!$B$21,Hypothèses!$B$22))+(1-(IF(B18=1,Hypothèses!$B$20,IF(B18=2,Hypothèses!$B$21,Hypothèses!$B$22))))*11/12)</f>
        <v>2676.4333333333334</v>
      </c>
      <c r="N18">
        <f>L18*IF(B18=1,Hypothèses!$C$20,IF(B18=2,Hypothèses!$C$21,Hypothèses!$C$22))*IF(B18=1,Hypothèses!$D$20,IF(B18=2,Hypothèses!$D$21,Hypothèses!$D$22))</f>
        <v>48.5</v>
      </c>
      <c r="O18">
        <f>IF(A18=18,IF($B$2&gt;=1,Hypothèses!$B$33,0),IF(AND(OR(A18=30,A18=34),$D$2&gt;=1),Hypothèses!$B$34*MIN(1,$D$2/3),0))</f>
        <v>0</v>
      </c>
      <c r="P18">
        <f t="shared" si="2"/>
        <v>2724.9333333333334</v>
      </c>
      <c r="Q18">
        <f>P18/(1+Hypothèses!$B$6)</f>
        <v>2270.7777777777778</v>
      </c>
      <c r="R18">
        <f>Hypothèses!$B$3*(1+Hypothèses!$B$4)^INT((A18-1)/3)</f>
        <v>874.50312499999973</v>
      </c>
      <c r="S18">
        <f t="shared" si="3"/>
        <v>1</v>
      </c>
      <c r="T18">
        <f>S18*Hypothèses!$B$17</f>
        <v>4500</v>
      </c>
      <c r="U18">
        <f>Q18*Hypothèses!$B$5</f>
        <v>22.707777777777778</v>
      </c>
      <c r="V18">
        <f t="shared" si="4"/>
        <v>-3126.4331249999996</v>
      </c>
      <c r="W18">
        <f t="shared" si="5"/>
        <v>-7594.0020624999979</v>
      </c>
    </row>
    <row r="19" spans="1:23" x14ac:dyDescent="0.25">
      <c r="A19">
        <v>16</v>
      </c>
      <c r="B19">
        <f t="shared" si="0"/>
        <v>2</v>
      </c>
      <c r="C19">
        <f>ROUND(IF(MOD($A19,12)=0,G19,(IF(19=4,0,C18))*(1-$K19)+IF((IF(19=4,0,C18))*(1-$K19)&lt;G19,(G19-(IF(19=4,0,C18))*(1-$K19))*Hypothèses!$B$10,0)),1)</f>
        <v>5.9</v>
      </c>
      <c r="D19">
        <f>ROUND(IF(MOD($A19,12)=0,H19,(IF(19=4,0,D18))*(1-$K19)+IF((IF(19=4,0,D18))*(1-$K19)&lt;H19,(H19-(IF(19=4,0,D18))*(1-$K19))*Hypothèses!$B$10,0)),1)</f>
        <v>15.2</v>
      </c>
      <c r="E19">
        <f>ROUND(IF(MOD($A19,12)=0,I19,(IF(19=4,0,E18))*(1-$K19)+IF((IF(19=4,0,E18))*(1-$K19)&lt;I19,(I19-(IF(19=4,0,E18))*(1-$K19))*Hypothèses!$B$10,0)),1)</f>
        <v>0.3</v>
      </c>
      <c r="F19">
        <f>ROUND(IF(MOD($A19,12)=0,J19,(IF(19=4,0,F18))*(1-$K19)+IF((IF(19=4,0,F18))*(1-$K19)&lt;J19,(J19-(IF(19=4,0,F18))*(1-$K19))*Hypothèses!$B$10,0)),1)</f>
        <v>0.3</v>
      </c>
      <c r="G19">
        <f>(IF(B19=1,0,IF(B19=2,Hypothèses!$B$26,IF(B19=3,Hypothèses!$C$26,Hypothèses!$D$26)))+(IF(B19=1,Hypothèses!$B$26,IF(B19=2,Hypothèses!$C$26,IF(B19=3,Hypothèses!$D$26,Hypothèses!$D$26)))-(IF(B19=1,0,IF(B19=2,Hypothèses!$B$26,IF(B19=3,Hypothèses!$C$26,Hypothèses!$D$26)))))*((A19)-INT((A19-1)/12)*12)/12)*$B$1</f>
        <v>6.666666666666667</v>
      </c>
      <c r="H19">
        <f>(IF(B19=1,0,IF(B19=2,Hypothèses!$B$27,IF(B19=3,Hypothèses!$C$27,Hypothèses!$D$27)))+(IF(B19=1,Hypothèses!$B$27,IF(B19=2,Hypothèses!$C$27,IF(B19=3,Hypothèses!$D$27,Hypothèses!$D$27)))-(IF(B19=1,0,IF(B19=2,Hypothèses!$B$27,IF(B19=3,Hypothèses!$C$27,Hypothèses!$D$27)))))*((A19)-INT((A19-1)/12)*12)/12)*$B$1</f>
        <v>18.333333333333336</v>
      </c>
      <c r="I19">
        <f>(IF(B19=1,0,IF(B19=2,Hypothèses!$B$28,IF(B19=3,Hypothèses!$C$28,Hypothèses!$D$28)))+(IF(B19=1,Hypothèses!$B$28,IF(B19=2,Hypothèses!$C$28,IF(B19=3,Hypothèses!$D$28,Hypothèses!$D$28)))-(IF(B19=1,0,IF(B19=2,Hypothèses!$B$28,IF(B19=3,Hypothèses!$C$28,Hypothèses!$D$28)))))*((A19)-INT((A19-1)/12)*12)/12)*$B$1</f>
        <v>0.33333333333333331</v>
      </c>
      <c r="J19">
        <f>(IF(B19=1,0,IF(B19=2,Hypothèses!$B$29,IF(B19=3,Hypothèses!$C$29,Hypothèses!$D$29)))+(IF(B19=1,Hypothèses!$B$29,IF(B19=2,Hypothèses!$C$29,IF(B19=3,Hypothèses!$D$29,Hypothèses!$D$29)))-(IF(B19=1,0,IF(B19=2,Hypothèses!$B$29,IF(B19=3,Hypothèses!$C$29,Hypothèses!$D$29)))))*((A19)-INT((A19-1)/12)*12)/12)*$B$1</f>
        <v>0.33333333333333331</v>
      </c>
      <c r="K19">
        <f>IF(A19&lt;Hypothèses!$B$7,0,Hypothèses!$B$8*(1-Hypothèses!$B$9)^(A19-Hypothèses!$B$7))</f>
        <v>2.3914845000000007E-2</v>
      </c>
      <c r="L19">
        <f t="shared" si="1"/>
        <v>21.700000000000003</v>
      </c>
      <c r="M19">
        <f>(C19*Hypothèses!$B$11+D19*Hypothèses!$B$12+E19*Hypothèses!$B$13+F19*Hypothèses!$B$14)*(IF(B19=1,Hypothèses!$B$20,IF(B19=2,Hypothèses!$B$21,Hypothèses!$B$22))+(1-(IF(B19=1,Hypothèses!$B$20,IF(B19=2,Hypothèses!$B$21,Hypothèses!$B$22))))*11/12)</f>
        <v>3101.7416666666659</v>
      </c>
      <c r="N19">
        <f>L19*IF(B19=1,Hypothèses!$C$20,IF(B19=2,Hypothèses!$C$21,Hypothèses!$C$22))*IF(B19=1,Hypothèses!$D$20,IF(B19=2,Hypothèses!$D$21,Hypothèses!$D$22))</f>
        <v>54.250000000000007</v>
      </c>
      <c r="O19">
        <f>IF(A19=18,IF($B$2&gt;=1,Hypothèses!$B$33,0),IF(AND(OR(A19=30,A19=34),$D$2&gt;=1),Hypothèses!$B$34*MIN(1,$D$2/3),0))</f>
        <v>0</v>
      </c>
      <c r="P19">
        <f t="shared" si="2"/>
        <v>3155.9916666666659</v>
      </c>
      <c r="Q19">
        <f>P19/(1+Hypothèses!$B$6)</f>
        <v>2629.9930555555552</v>
      </c>
      <c r="R19">
        <f>Hypothèses!$B$3*(1+Hypothèses!$B$4)^INT((A19-1)/3)</f>
        <v>1005.6785937499997</v>
      </c>
      <c r="S19">
        <f t="shared" si="3"/>
        <v>1</v>
      </c>
      <c r="T19">
        <f>S19*Hypothèses!$B$17</f>
        <v>4500</v>
      </c>
      <c r="U19">
        <f>Q19*Hypothèses!$B$5</f>
        <v>26.299930555555552</v>
      </c>
      <c r="V19">
        <f t="shared" si="4"/>
        <v>-2901.9854687499997</v>
      </c>
      <c r="W19">
        <f t="shared" si="5"/>
        <v>-10495.987531249997</v>
      </c>
    </row>
    <row r="20" spans="1:23" x14ac:dyDescent="0.25">
      <c r="A20">
        <v>17</v>
      </c>
      <c r="B20">
        <f t="shared" si="0"/>
        <v>2</v>
      </c>
      <c r="C20">
        <f>ROUND(IF(MOD($A20,12)=0,G20,(IF(20=4,0,C19))*(1-$K20)+IF((IF(20=4,0,C19))*(1-$K20)&lt;G20,(G20-(IF(20=4,0,C19))*(1-$K20))*Hypothèses!$B$10,0)),1)</f>
        <v>6.3</v>
      </c>
      <c r="D20">
        <f>ROUND(IF(MOD($A20,12)=0,H20,(IF(20=4,0,D19))*(1-$K20)+IF((IF(20=4,0,D19))*(1-$K20)&lt;H20,(H20-(IF(20=4,0,D19))*(1-$K20))*Hypothèses!$B$10,0)),1)</f>
        <v>17.100000000000001</v>
      </c>
      <c r="E20">
        <f>ROUND(IF(MOD($A20,12)=0,I20,(IF(20=4,0,E19))*(1-$K20)+IF((IF(20=4,0,E19))*(1-$K20)&lt;I20,(I20-(IF(20=4,0,E19))*(1-$K20))*Hypothèses!$B$10,0)),1)</f>
        <v>0.3</v>
      </c>
      <c r="F20">
        <f>ROUND(IF(MOD($A20,12)=0,J20,(IF(20=4,0,F19))*(1-$K20)+IF((IF(20=4,0,F19))*(1-$K20)&lt;J20,(J20-(IF(20=4,0,F19))*(1-$K20))*Hypothèses!$B$10,0)),1)</f>
        <v>0.3</v>
      </c>
      <c r="G20">
        <f>(IF(B20=1,0,IF(B20=2,Hypothèses!$B$26,IF(B20=3,Hypothèses!$C$26,Hypothèses!$D$26)))+(IF(B20=1,Hypothèses!$B$26,IF(B20=2,Hypothèses!$C$26,IF(B20=3,Hypothèses!$D$26,Hypothèses!$D$26)))-(IF(B20=1,0,IF(B20=2,Hypothèses!$B$26,IF(B20=3,Hypothèses!$C$26,Hypothèses!$D$26)))))*((A20)-INT((A20-1)/12)*12)/12)*$B$1</f>
        <v>7.0833333333333339</v>
      </c>
      <c r="H20">
        <f>(IF(B20=1,0,IF(B20=2,Hypothèses!$B$27,IF(B20=3,Hypothèses!$C$27,Hypothèses!$D$27)))+(IF(B20=1,Hypothèses!$B$27,IF(B20=2,Hypothèses!$C$27,IF(B20=3,Hypothèses!$D$27,Hypothèses!$D$27)))-(IF(B20=1,0,IF(B20=2,Hypothèses!$B$27,IF(B20=3,Hypothèses!$C$27,Hypothèses!$D$27)))))*((A20)-INT((A20-1)/12)*12)/12)*$B$1</f>
        <v>20.416666666666664</v>
      </c>
      <c r="I20">
        <f>(IF(B20=1,0,IF(B20=2,Hypothèses!$B$28,IF(B20=3,Hypothèses!$C$28,Hypothèses!$D$28)))+(IF(B20=1,Hypothèses!$B$28,IF(B20=2,Hypothèses!$C$28,IF(B20=3,Hypothèses!$D$28,Hypothèses!$D$28)))-(IF(B20=1,0,IF(B20=2,Hypothèses!$B$28,IF(B20=3,Hypothèses!$C$28,Hypothèses!$D$28)))))*((A20)-INT((A20-1)/12)*12)/12)*$B$1</f>
        <v>0.41666666666666669</v>
      </c>
      <c r="J20">
        <f>(IF(B20=1,0,IF(B20=2,Hypothèses!$B$29,IF(B20=3,Hypothèses!$C$29,Hypothèses!$D$29)))+(IF(B20=1,Hypothèses!$B$29,IF(B20=2,Hypothèses!$C$29,IF(B20=3,Hypothèses!$D$29,Hypothèses!$D$29)))-(IF(B20=1,0,IF(B20=2,Hypothèses!$B$29,IF(B20=3,Hypothèses!$C$29,Hypothèses!$D$29)))))*((A20)-INT((A20-1)/12)*12)/12)*$B$1</f>
        <v>0.41666666666666669</v>
      </c>
      <c r="K20">
        <f>IF(A20&lt;Hypothèses!$B$7,0,Hypothèses!$B$8*(1-Hypothèses!$B$9)^(A20-Hypothèses!$B$7))</f>
        <v>2.1523360500000008E-2</v>
      </c>
      <c r="L20">
        <f t="shared" si="1"/>
        <v>24.000000000000004</v>
      </c>
      <c r="M20">
        <f>(C20*Hypothèses!$B$11+D20*Hypothèses!$B$12+E20*Hypothèses!$B$13+F20*Hypothèses!$B$14)*(IF(B20=1,Hypothèses!$B$20,IF(B20=2,Hypothèses!$B$21,Hypothèses!$B$22))+(1-(IF(B20=1,Hypothèses!$B$20,IF(B20=2,Hypothèses!$B$21,Hypothèses!$B$22))))*11/12)</f>
        <v>3407.1624999999995</v>
      </c>
      <c r="N20">
        <f>L20*IF(B20=1,Hypothèses!$C$20,IF(B20=2,Hypothèses!$C$21,Hypothèses!$C$22))*IF(B20=1,Hypothèses!$D$20,IF(B20=2,Hypothèses!$D$21,Hypothèses!$D$22))</f>
        <v>60.000000000000007</v>
      </c>
      <c r="O20">
        <f>IF(A20=18,IF($B$2&gt;=1,Hypothèses!$B$33,0),IF(AND(OR(A20=30,A20=34),$D$2&gt;=1),Hypothèses!$B$34*MIN(1,$D$2/3),0))</f>
        <v>0</v>
      </c>
      <c r="P20">
        <f t="shared" si="2"/>
        <v>3467.1624999999995</v>
      </c>
      <c r="Q20">
        <f>P20/(1+Hypothèses!$B$6)</f>
        <v>2889.302083333333</v>
      </c>
      <c r="R20">
        <f>Hypothèses!$B$3*(1+Hypothèses!$B$4)^INT((A20-1)/3)</f>
        <v>1005.6785937499997</v>
      </c>
      <c r="S20">
        <f t="shared" si="3"/>
        <v>1</v>
      </c>
      <c r="T20">
        <f>S20*Hypothèses!$B$17</f>
        <v>4500</v>
      </c>
      <c r="U20">
        <f>Q20*Hypothèses!$B$5</f>
        <v>28.893020833333331</v>
      </c>
      <c r="V20">
        <f t="shared" si="4"/>
        <v>-2645.26953125</v>
      </c>
      <c r="W20">
        <f t="shared" si="5"/>
        <v>-13141.257062499997</v>
      </c>
    </row>
    <row r="21" spans="1:23" x14ac:dyDescent="0.25">
      <c r="A21">
        <v>18</v>
      </c>
      <c r="B21">
        <f t="shared" si="0"/>
        <v>2</v>
      </c>
      <c r="C21">
        <f>ROUND(IF(MOD($A21,12)=0,G21,(IF(21=4,0,C20))*(1-$K21)+IF((IF(21=4,0,C20))*(1-$K21)&lt;G21,(G21-(IF(21=4,0,C20))*(1-$K21))*Hypothèses!$B$10,0)),1)</f>
        <v>6.7</v>
      </c>
      <c r="D21">
        <f>ROUND(IF(MOD($A21,12)=0,H21,(IF(21=4,0,D20))*(1-$K21)+IF((IF(21=4,0,D20))*(1-$K21)&lt;H21,(H21-(IF(21=4,0,D20))*(1-$K21))*Hypothèses!$B$10,0)),1)</f>
        <v>19.100000000000001</v>
      </c>
      <c r="E21">
        <f>ROUND(IF(MOD($A21,12)=0,I21,(IF(21=4,0,E20))*(1-$K21)+IF((IF(21=4,0,E20))*(1-$K21)&lt;I21,(I21-(IF(21=4,0,E20))*(1-$K21))*Hypothèses!$B$10,0)),1)</f>
        <v>0.4</v>
      </c>
      <c r="F21">
        <f>ROUND(IF(MOD($A21,12)=0,J21,(IF(21=4,0,F20))*(1-$K21)+IF((IF(21=4,0,F20))*(1-$K21)&lt;J21,(J21-(IF(21=4,0,F20))*(1-$K21))*Hypothèses!$B$10,0)),1)</f>
        <v>0.4</v>
      </c>
      <c r="G21">
        <f>(IF(B21=1,0,IF(B21=2,Hypothèses!$B$26,IF(B21=3,Hypothèses!$C$26,Hypothèses!$D$26)))+(IF(B21=1,Hypothèses!$B$26,IF(B21=2,Hypothèses!$C$26,IF(B21=3,Hypothèses!$D$26,Hypothèses!$D$26)))-(IF(B21=1,0,IF(B21=2,Hypothèses!$B$26,IF(B21=3,Hypothèses!$C$26,Hypothèses!$D$26)))))*((A21)-INT((A21-1)/12)*12)/12)*$B$1</f>
        <v>7.5</v>
      </c>
      <c r="H21">
        <f>(IF(B21=1,0,IF(B21=2,Hypothèses!$B$27,IF(B21=3,Hypothèses!$C$27,Hypothèses!$D$27)))+(IF(B21=1,Hypothèses!$B$27,IF(B21=2,Hypothèses!$C$27,IF(B21=3,Hypothèses!$D$27,Hypothèses!$D$27)))-(IF(B21=1,0,IF(B21=2,Hypothèses!$B$27,IF(B21=3,Hypothèses!$C$27,Hypothèses!$D$27)))))*((A21)-INT((A21-1)/12)*12)/12)*$B$1</f>
        <v>22.5</v>
      </c>
      <c r="I21">
        <f>(IF(B21=1,0,IF(B21=2,Hypothèses!$B$28,IF(B21=3,Hypothèses!$C$28,Hypothèses!$D$28)))+(IF(B21=1,Hypothèses!$B$28,IF(B21=2,Hypothèses!$C$28,IF(B21=3,Hypothèses!$D$28,Hypothèses!$D$28)))-(IF(B21=1,0,IF(B21=2,Hypothèses!$B$28,IF(B21=3,Hypothèses!$C$28,Hypothèses!$D$28)))))*((A21)-INT((A21-1)/12)*12)/12)*$B$1</f>
        <v>0.5</v>
      </c>
      <c r="J21">
        <f>(IF(B21=1,0,IF(B21=2,Hypothèses!$B$29,IF(B21=3,Hypothèses!$C$29,Hypothèses!$D$29)))+(IF(B21=1,Hypothèses!$B$29,IF(B21=2,Hypothèses!$C$29,IF(B21=3,Hypothèses!$D$29,Hypothèses!$D$29)))-(IF(B21=1,0,IF(B21=2,Hypothèses!$B$29,IF(B21=3,Hypothèses!$C$29,Hypothèses!$D$29)))))*((A21)-INT((A21-1)/12)*12)/12)*$B$1</f>
        <v>0.5</v>
      </c>
      <c r="K21">
        <f>IF(A21&lt;Hypothèses!$B$7,0,Hypothèses!$B$8*(1-Hypothèses!$B$9)^(A21-Hypothèses!$B$7))</f>
        <v>1.937102445000001E-2</v>
      </c>
      <c r="L21">
        <f t="shared" si="1"/>
        <v>26.599999999999998</v>
      </c>
      <c r="M21">
        <f>(C21*Hypothèses!$B$11+D21*Hypothèses!$B$12+E21*Hypothèses!$B$13+F21*Hypothèses!$B$14)*(IF(B21=1,Hypothèses!$B$20,IF(B21=2,Hypothèses!$B$21,Hypothèses!$B$22))+(1-(IF(B21=1,Hypothèses!$B$20,IF(B21=2,Hypothèses!$B$21,Hypothèses!$B$22))))*11/12)</f>
        <v>3869.5583333333334</v>
      </c>
      <c r="N21">
        <f>L21*IF(B21=1,Hypothèses!$C$20,IF(B21=2,Hypothèses!$C$21,Hypothèses!$C$22))*IF(B21=1,Hypothèses!$D$20,IF(B21=2,Hypothèses!$D$21,Hypothèses!$D$22))</f>
        <v>66.5</v>
      </c>
      <c r="O21">
        <f>IF(A21=18,IF($B$2&gt;=1,Hypothèses!$B$33,0),IF(AND(OR(A21=30,A21=34),$D$2&gt;=1),Hypothèses!$B$34*MIN(1,$D$2/3),0))</f>
        <v>15000</v>
      </c>
      <c r="P21">
        <f t="shared" si="2"/>
        <v>18936.058333333334</v>
      </c>
      <c r="Q21">
        <f>P21/(1+Hypothèses!$B$6)</f>
        <v>15780.048611111113</v>
      </c>
      <c r="R21">
        <f>Hypothèses!$B$3*(1+Hypothèses!$B$4)^INT((A21-1)/3)</f>
        <v>1005.6785937499997</v>
      </c>
      <c r="S21">
        <f t="shared" si="3"/>
        <v>1</v>
      </c>
      <c r="T21">
        <f>S21*Hypothèses!$B$17</f>
        <v>4500</v>
      </c>
      <c r="U21">
        <f>Q21*Hypothèses!$B$5</f>
        <v>157.80048611111113</v>
      </c>
      <c r="V21">
        <f t="shared" si="4"/>
        <v>10116.569531250003</v>
      </c>
      <c r="W21">
        <f t="shared" si="5"/>
        <v>-3024.6875312499942</v>
      </c>
    </row>
    <row r="22" spans="1:23" x14ac:dyDescent="0.25">
      <c r="A22">
        <v>19</v>
      </c>
      <c r="B22">
        <f t="shared" si="0"/>
        <v>2</v>
      </c>
      <c r="C22">
        <f>ROUND(IF(MOD($A22,12)=0,G22,(IF(22=4,0,C21))*(1-$K22)+IF((IF(22=4,0,C21))*(1-$K22)&lt;G22,(G22-(IF(22=4,0,C21))*(1-$K22))*Hypothèses!$B$10,0)),1)</f>
        <v>7.1</v>
      </c>
      <c r="D22">
        <f>ROUND(IF(MOD($A22,12)=0,H22,(IF(22=4,0,D21))*(1-$K22)+IF((IF(22=4,0,D21))*(1-$K22)&lt;H22,(H22-(IF(22=4,0,D21))*(1-$K22))*Hypothèses!$B$10,0)),1)</f>
        <v>21.1</v>
      </c>
      <c r="E22">
        <f>ROUND(IF(MOD($A22,12)=0,I22,(IF(22=4,0,E21))*(1-$K22)+IF((IF(22=4,0,E21))*(1-$K22)&lt;I22,(I22-(IF(22=4,0,E21))*(1-$K22))*Hypothèses!$B$10,0)),1)</f>
        <v>0.5</v>
      </c>
      <c r="F22">
        <f>ROUND(IF(MOD($A22,12)=0,J22,(IF(22=4,0,F21))*(1-$K22)+IF((IF(22=4,0,F21))*(1-$K22)&lt;J22,(J22-(IF(22=4,0,F21))*(1-$K22))*Hypothèses!$B$10,0)),1)</f>
        <v>0.5</v>
      </c>
      <c r="G22">
        <f>(IF(B22=1,0,IF(B22=2,Hypothèses!$B$26,IF(B22=3,Hypothèses!$C$26,Hypothèses!$D$26)))+(IF(B22=1,Hypothèses!$B$26,IF(B22=2,Hypothèses!$C$26,IF(B22=3,Hypothèses!$D$26,Hypothèses!$D$26)))-(IF(B22=1,0,IF(B22=2,Hypothèses!$B$26,IF(B22=3,Hypothèses!$C$26,Hypothèses!$D$26)))))*((A22)-INT((A22-1)/12)*12)/12)*$B$1</f>
        <v>7.9166666666666661</v>
      </c>
      <c r="H22">
        <f>(IF(B22=1,0,IF(B22=2,Hypothèses!$B$27,IF(B22=3,Hypothèses!$C$27,Hypothèses!$D$27)))+(IF(B22=1,Hypothèses!$B$27,IF(B22=2,Hypothèses!$C$27,IF(B22=3,Hypothèses!$D$27,Hypothèses!$D$27)))-(IF(B22=1,0,IF(B22=2,Hypothèses!$B$27,IF(B22=3,Hypothèses!$C$27,Hypothèses!$D$27)))))*((A22)-INT((A22-1)/12)*12)/12)*$B$1</f>
        <v>24.583333333333336</v>
      </c>
      <c r="I22">
        <f>(IF(B22=1,0,IF(B22=2,Hypothèses!$B$28,IF(B22=3,Hypothèses!$C$28,Hypothèses!$D$28)))+(IF(B22=1,Hypothèses!$B$28,IF(B22=2,Hypothèses!$C$28,IF(B22=3,Hypothèses!$D$28,Hypothèses!$D$28)))-(IF(B22=1,0,IF(B22=2,Hypothèses!$B$28,IF(B22=3,Hypothèses!$C$28,Hypothèses!$D$28)))))*((A22)-INT((A22-1)/12)*12)/12)*$B$1</f>
        <v>0.58333333333333337</v>
      </c>
      <c r="J22">
        <f>(IF(B22=1,0,IF(B22=2,Hypothèses!$B$29,IF(B22=3,Hypothèses!$C$29,Hypothèses!$D$29)))+(IF(B22=1,Hypothèses!$B$29,IF(B22=2,Hypothèses!$C$29,IF(B22=3,Hypothèses!$D$29,Hypothèses!$D$29)))-(IF(B22=1,0,IF(B22=2,Hypothèses!$B$29,IF(B22=3,Hypothèses!$C$29,Hypothèses!$D$29)))))*((A22)-INT((A22-1)/12)*12)/12)*$B$1</f>
        <v>0.58333333333333337</v>
      </c>
      <c r="K22">
        <f>IF(A22&lt;Hypothèses!$B$7,0,Hypothèses!$B$8*(1-Hypothèses!$B$9)^(A22-Hypothèses!$B$7))</f>
        <v>1.7433922005000008E-2</v>
      </c>
      <c r="L22">
        <f t="shared" si="1"/>
        <v>29.200000000000003</v>
      </c>
      <c r="M22">
        <f>(C22*Hypothèses!$B$11+D22*Hypothèses!$B$12+E22*Hypothèses!$B$13+F22*Hypothèses!$B$14)*(IF(B22=1,Hypothèses!$B$20,IF(B22=2,Hypothèses!$B$21,Hypothèses!$B$22))+(1-(IF(B22=1,Hypothèses!$B$20,IF(B22=2,Hypothèses!$B$21,Hypothèses!$B$22))))*11/12)</f>
        <v>4331.9541666666664</v>
      </c>
      <c r="N22">
        <f>L22*IF(B22=1,Hypothèses!$C$20,IF(B22=2,Hypothèses!$C$21,Hypothèses!$C$22))*IF(B22=1,Hypothèses!$D$20,IF(B22=2,Hypothèses!$D$21,Hypothèses!$D$22))</f>
        <v>73.000000000000014</v>
      </c>
      <c r="O22">
        <f>IF(A22=18,IF($B$2&gt;=1,Hypothèses!$B$33,0),IF(AND(OR(A22=30,A22=34),$D$2&gt;=1),Hypothèses!$B$34*MIN(1,$D$2/3),0))</f>
        <v>0</v>
      </c>
      <c r="P22">
        <f t="shared" si="2"/>
        <v>4404.9541666666664</v>
      </c>
      <c r="Q22">
        <f>P22/(1+Hypothèses!$B$6)</f>
        <v>3670.7951388888887</v>
      </c>
      <c r="R22">
        <f>Hypothèses!$B$3*(1+Hypothèses!$B$4)^INT((A22-1)/3)</f>
        <v>1156.5303828124995</v>
      </c>
      <c r="S22">
        <f t="shared" si="3"/>
        <v>1</v>
      </c>
      <c r="T22">
        <f>S22*Hypothèses!$B$17</f>
        <v>4500</v>
      </c>
      <c r="U22">
        <f>Q22*Hypothèses!$B$5</f>
        <v>36.707951388888887</v>
      </c>
      <c r="V22">
        <f t="shared" si="4"/>
        <v>-2022.4431953124999</v>
      </c>
      <c r="W22">
        <f t="shared" si="5"/>
        <v>-5047.1307265624946</v>
      </c>
    </row>
    <row r="23" spans="1:23" x14ac:dyDescent="0.25">
      <c r="A23">
        <v>20</v>
      </c>
      <c r="B23">
        <f t="shared" si="0"/>
        <v>2</v>
      </c>
      <c r="C23">
        <f>ROUND(IF(MOD($A23,12)=0,G23,(IF(23=4,0,C22))*(1-$K23)+IF((IF(23=4,0,C22))*(1-$K23)&lt;G23,(G23-(IF(23=4,0,C22))*(1-$K23))*Hypothèses!$B$10,0)),1)</f>
        <v>7.5</v>
      </c>
      <c r="D23">
        <f>ROUND(IF(MOD($A23,12)=0,H23,(IF(23=4,0,D22))*(1-$K23)+IF((IF(23=4,0,D22))*(1-$K23)&lt;H23,(H23-(IF(23=4,0,D22))*(1-$K23))*Hypothèses!$B$10,0)),1)</f>
        <v>23.1</v>
      </c>
      <c r="E23">
        <f>ROUND(IF(MOD($A23,12)=0,I23,(IF(23=4,0,E22))*(1-$K23)+IF((IF(23=4,0,E22))*(1-$K23)&lt;I23,(I23-(IF(23=4,0,E22))*(1-$K23))*Hypothèses!$B$10,0)),1)</f>
        <v>0.6</v>
      </c>
      <c r="F23">
        <f>ROUND(IF(MOD($A23,12)=0,J23,(IF(23=4,0,F22))*(1-$K23)+IF((IF(23=4,0,F22))*(1-$K23)&lt;J23,(J23-(IF(23=4,0,F22))*(1-$K23))*Hypothèses!$B$10,0)),1)</f>
        <v>0.6</v>
      </c>
      <c r="G23">
        <f>(IF(B23=1,0,IF(B23=2,Hypothèses!$B$26,IF(B23=3,Hypothèses!$C$26,Hypothèses!$D$26)))+(IF(B23=1,Hypothèses!$B$26,IF(B23=2,Hypothèses!$C$26,IF(B23=3,Hypothèses!$D$26,Hypothèses!$D$26)))-(IF(B23=1,0,IF(B23=2,Hypothèses!$B$26,IF(B23=3,Hypothèses!$C$26,Hypothèses!$D$26)))))*((A23)-INT((A23-1)/12)*12)/12)*$B$1</f>
        <v>8.3333333333333339</v>
      </c>
      <c r="H23">
        <f>(IF(B23=1,0,IF(B23=2,Hypothèses!$B$27,IF(B23=3,Hypothèses!$C$27,Hypothèses!$D$27)))+(IF(B23=1,Hypothèses!$B$27,IF(B23=2,Hypothèses!$C$27,IF(B23=3,Hypothèses!$D$27,Hypothèses!$D$27)))-(IF(B23=1,0,IF(B23=2,Hypothèses!$B$27,IF(B23=3,Hypothèses!$C$27,Hypothèses!$D$27)))))*((A23)-INT((A23-1)/12)*12)/12)*$B$1</f>
        <v>26.666666666666668</v>
      </c>
      <c r="I23">
        <f>(IF(B23=1,0,IF(B23=2,Hypothèses!$B$28,IF(B23=3,Hypothèses!$C$28,Hypothèses!$D$28)))+(IF(B23=1,Hypothèses!$B$28,IF(B23=2,Hypothèses!$C$28,IF(B23=3,Hypothèses!$D$28,Hypothèses!$D$28)))-(IF(B23=1,0,IF(B23=2,Hypothèses!$B$28,IF(B23=3,Hypothèses!$C$28,Hypothèses!$D$28)))))*((A23)-INT((A23-1)/12)*12)/12)*$B$1</f>
        <v>0.66666666666666663</v>
      </c>
      <c r="J23">
        <f>(IF(B23=1,0,IF(B23=2,Hypothèses!$B$29,IF(B23=3,Hypothèses!$C$29,Hypothèses!$D$29)))+(IF(B23=1,Hypothèses!$B$29,IF(B23=2,Hypothèses!$C$29,IF(B23=3,Hypothèses!$D$29,Hypothèses!$D$29)))-(IF(B23=1,0,IF(B23=2,Hypothèses!$B$29,IF(B23=3,Hypothèses!$C$29,Hypothèses!$D$29)))))*((A23)-INT((A23-1)/12)*12)/12)*$B$1</f>
        <v>0.66666666666666663</v>
      </c>
      <c r="K23">
        <f>IF(A23&lt;Hypothèses!$B$7,0,Hypothèses!$B$8*(1-Hypothèses!$B$9)^(A23-Hypothèses!$B$7))</f>
        <v>1.569052980450001E-2</v>
      </c>
      <c r="L23">
        <f t="shared" si="1"/>
        <v>31.800000000000004</v>
      </c>
      <c r="M23">
        <f>(C23*Hypothèses!$B$11+D23*Hypothèses!$B$12+E23*Hypothèses!$B$13+F23*Hypothèses!$B$14)*(IF(B23=1,Hypothèses!$B$20,IF(B23=2,Hypothèses!$B$21,Hypothèses!$B$22))+(1-(IF(B23=1,Hypothèses!$B$20,IF(B23=2,Hypothèses!$B$21,Hypothèses!$B$22))))*11/12)</f>
        <v>4794.3499999999985</v>
      </c>
      <c r="N23">
        <f>L23*IF(B23=1,Hypothèses!$C$20,IF(B23=2,Hypothèses!$C$21,Hypothèses!$C$22))*IF(B23=1,Hypothèses!$D$20,IF(B23=2,Hypothèses!$D$21,Hypothèses!$D$22))</f>
        <v>79.500000000000014</v>
      </c>
      <c r="O23">
        <f>IF(A23=18,IF($B$2&gt;=1,Hypothèses!$B$33,0),IF(AND(OR(A23=30,A23=34),$D$2&gt;=1),Hypothèses!$B$34*MIN(1,$D$2/3),0))</f>
        <v>0</v>
      </c>
      <c r="P23">
        <f t="shared" si="2"/>
        <v>4873.8499999999985</v>
      </c>
      <c r="Q23">
        <f>P23/(1+Hypothèses!$B$6)</f>
        <v>4061.5416666666656</v>
      </c>
      <c r="R23">
        <f>Hypothèses!$B$3*(1+Hypothèses!$B$4)^INT((A23-1)/3)</f>
        <v>1156.5303828124995</v>
      </c>
      <c r="S23">
        <f t="shared" si="3"/>
        <v>1</v>
      </c>
      <c r="T23">
        <f>S23*Hypothèses!$B$17</f>
        <v>4500</v>
      </c>
      <c r="U23">
        <f>Q23*Hypothèses!$B$5</f>
        <v>40.615416666666654</v>
      </c>
      <c r="V23">
        <f t="shared" si="4"/>
        <v>-1635.6041328125004</v>
      </c>
      <c r="W23">
        <f t="shared" si="5"/>
        <v>-6682.7348593749948</v>
      </c>
    </row>
    <row r="24" spans="1:23" x14ac:dyDescent="0.25">
      <c r="A24">
        <v>21</v>
      </c>
      <c r="B24">
        <f t="shared" si="0"/>
        <v>2</v>
      </c>
      <c r="C24">
        <f>ROUND(IF(MOD($A24,12)=0,G24,(IF(24=4,0,C23))*(1-$K24)+IF((IF(24=4,0,C23))*(1-$K24)&lt;G24,(G24-(IF(24=4,0,C23))*(1-$K24))*Hypothèses!$B$10,0)),1)</f>
        <v>7.9</v>
      </c>
      <c r="D24">
        <f>ROUND(IF(MOD($A24,12)=0,H24,(IF(24=4,0,D23))*(1-$K24)+IF((IF(24=4,0,D23))*(1-$K24)&lt;H24,(H24-(IF(24=4,0,D23))*(1-$K24))*Hypothèses!$B$10,0)),1)</f>
        <v>25.2</v>
      </c>
      <c r="E24">
        <f>ROUND(IF(MOD($A24,12)=0,I24,(IF(24=4,0,E23))*(1-$K24)+IF((IF(24=4,0,E23))*(1-$K24)&lt;I24,(I24-(IF(24=4,0,E23))*(1-$K24))*Hypothèses!$B$10,0)),1)</f>
        <v>0.7</v>
      </c>
      <c r="F24">
        <f>ROUND(IF(MOD($A24,12)=0,J24,(IF(24=4,0,F23))*(1-$K24)+IF((IF(24=4,0,F23))*(1-$K24)&lt;J24,(J24-(IF(24=4,0,F23))*(1-$K24))*Hypothèses!$B$10,0)),1)</f>
        <v>0.7</v>
      </c>
      <c r="G24">
        <f>(IF(B24=1,0,IF(B24=2,Hypothèses!$B$26,IF(B24=3,Hypothèses!$C$26,Hypothèses!$D$26)))+(IF(B24=1,Hypothèses!$B$26,IF(B24=2,Hypothèses!$C$26,IF(B24=3,Hypothèses!$D$26,Hypothèses!$D$26)))-(IF(B24=1,0,IF(B24=2,Hypothèses!$B$26,IF(B24=3,Hypothèses!$C$26,Hypothèses!$D$26)))))*((A24)-INT((A24-1)/12)*12)/12)*$B$1</f>
        <v>8.75</v>
      </c>
      <c r="H24">
        <f>(IF(B24=1,0,IF(B24=2,Hypothèses!$B$27,IF(B24=3,Hypothèses!$C$27,Hypothèses!$D$27)))+(IF(B24=1,Hypothèses!$B$27,IF(B24=2,Hypothèses!$C$27,IF(B24=3,Hypothèses!$D$27,Hypothèses!$D$27)))-(IF(B24=1,0,IF(B24=2,Hypothèses!$B$27,IF(B24=3,Hypothèses!$C$27,Hypothèses!$D$27)))))*((A24)-INT((A24-1)/12)*12)/12)*$B$1</f>
        <v>28.75</v>
      </c>
      <c r="I24">
        <f>(IF(B24=1,0,IF(B24=2,Hypothèses!$B$28,IF(B24=3,Hypothèses!$C$28,Hypothèses!$D$28)))+(IF(B24=1,Hypothèses!$B$28,IF(B24=2,Hypothèses!$C$28,IF(B24=3,Hypothèses!$D$28,Hypothèses!$D$28)))-(IF(B24=1,0,IF(B24=2,Hypothèses!$B$28,IF(B24=3,Hypothèses!$C$28,Hypothèses!$D$28)))))*((A24)-INT((A24-1)/12)*12)/12)*$B$1</f>
        <v>0.75</v>
      </c>
      <c r="J24">
        <f>(IF(B24=1,0,IF(B24=2,Hypothèses!$B$29,IF(B24=3,Hypothèses!$C$29,Hypothèses!$D$29)))+(IF(B24=1,Hypothèses!$B$29,IF(B24=2,Hypothèses!$C$29,IF(B24=3,Hypothèses!$D$29,Hypothèses!$D$29)))-(IF(B24=1,0,IF(B24=2,Hypothèses!$B$29,IF(B24=3,Hypothèses!$C$29,Hypothèses!$D$29)))))*((A24)-INT((A24-1)/12)*12)/12)*$B$1</f>
        <v>0.75</v>
      </c>
      <c r="K24">
        <f>IF(A24&lt;Hypothèses!$B$7,0,Hypothèses!$B$8*(1-Hypothèses!$B$9)^(A24-Hypothèses!$B$7))</f>
        <v>1.412147682405001E-2</v>
      </c>
      <c r="L24">
        <f t="shared" si="1"/>
        <v>34.500000000000007</v>
      </c>
      <c r="M24">
        <f>(C24*Hypothèses!$B$11+D24*Hypothèses!$B$12+E24*Hypothèses!$B$13+F24*Hypothèses!$B$14)*(IF(B24=1,Hypothèses!$B$20,IF(B24=2,Hypothèses!$B$21,Hypothèses!$B$22))+(1-(IF(B24=1,Hypothèses!$B$20,IF(B24=2,Hypothèses!$B$21,Hypothèses!$B$22))))*11/12)</f>
        <v>5271.0249999999996</v>
      </c>
      <c r="N24">
        <f>L24*IF(B24=1,Hypothèses!$C$20,IF(B24=2,Hypothèses!$C$21,Hypothèses!$C$22))*IF(B24=1,Hypothèses!$D$20,IF(B24=2,Hypothèses!$D$21,Hypothèses!$D$22))</f>
        <v>86.250000000000028</v>
      </c>
      <c r="O24">
        <f>IF(A24=18,IF($B$2&gt;=1,Hypothèses!$B$33,0),IF(AND(OR(A24=30,A24=34),$D$2&gt;=1),Hypothèses!$B$34*MIN(1,$D$2/3),0))</f>
        <v>0</v>
      </c>
      <c r="P24">
        <f t="shared" si="2"/>
        <v>5357.2749999999996</v>
      </c>
      <c r="Q24">
        <f>P24/(1+Hypothèses!$B$6)</f>
        <v>4464.395833333333</v>
      </c>
      <c r="R24">
        <f>Hypothèses!$B$3*(1+Hypothèses!$B$4)^INT((A24-1)/3)</f>
        <v>1156.5303828124995</v>
      </c>
      <c r="S24">
        <f t="shared" si="3"/>
        <v>1</v>
      </c>
      <c r="T24">
        <f>S24*Hypothèses!$B$17</f>
        <v>4500</v>
      </c>
      <c r="U24">
        <f>Q24*Hypothèses!$B$5</f>
        <v>44.64395833333333</v>
      </c>
      <c r="V24">
        <f t="shared" si="4"/>
        <v>-1236.7785078125</v>
      </c>
      <c r="W24">
        <f t="shared" si="5"/>
        <v>-7919.5133671874946</v>
      </c>
    </row>
    <row r="25" spans="1:23" x14ac:dyDescent="0.25">
      <c r="A25">
        <v>22</v>
      </c>
      <c r="B25">
        <f t="shared" si="0"/>
        <v>2</v>
      </c>
      <c r="C25">
        <f>ROUND(IF(MOD($A25,12)=0,G25,(IF(25=4,0,C24))*(1-$K25)+IF((IF(25=4,0,C24))*(1-$K25)&lt;G25,(G25-(IF(25=4,0,C24))*(1-$K25))*Hypothèses!$B$10,0)),1)</f>
        <v>8.3000000000000007</v>
      </c>
      <c r="D25">
        <f>ROUND(IF(MOD($A25,12)=0,H25,(IF(25=4,0,D24))*(1-$K25)+IF((IF(25=4,0,D24))*(1-$K25)&lt;H25,(H25-(IF(25=4,0,D24))*(1-$K25))*Hypothèses!$B$10,0)),1)</f>
        <v>27.3</v>
      </c>
      <c r="E25">
        <f>ROUND(IF(MOD($A25,12)=0,I25,(IF(25=4,0,E24))*(1-$K25)+IF((IF(25=4,0,E24))*(1-$K25)&lt;I25,(I25-(IF(25=4,0,E24))*(1-$K25))*Hypothèses!$B$10,0)),1)</f>
        <v>0.7</v>
      </c>
      <c r="F25">
        <f>ROUND(IF(MOD($A25,12)=0,J25,(IF(25=4,0,F24))*(1-$K25)+IF((IF(25=4,0,F24))*(1-$K25)&lt;J25,(J25-(IF(25=4,0,F24))*(1-$K25))*Hypothèses!$B$10,0)),1)</f>
        <v>0.7</v>
      </c>
      <c r="G25">
        <f>(IF(B25=1,0,IF(B25=2,Hypothèses!$B$26,IF(B25=3,Hypothèses!$C$26,Hypothèses!$D$26)))+(IF(B25=1,Hypothèses!$B$26,IF(B25=2,Hypothèses!$C$26,IF(B25=3,Hypothèses!$D$26,Hypothèses!$D$26)))-(IF(B25=1,0,IF(B25=2,Hypothèses!$B$26,IF(B25=3,Hypothèses!$C$26,Hypothèses!$D$26)))))*((A25)-INT((A25-1)/12)*12)/12)*$B$1</f>
        <v>9.1666666666666679</v>
      </c>
      <c r="H25">
        <f>(IF(B25=1,0,IF(B25=2,Hypothèses!$B$27,IF(B25=3,Hypothèses!$C$27,Hypothèses!$D$27)))+(IF(B25=1,Hypothèses!$B$27,IF(B25=2,Hypothèses!$C$27,IF(B25=3,Hypothèses!$D$27,Hypothèses!$D$27)))-(IF(B25=1,0,IF(B25=2,Hypothèses!$B$27,IF(B25=3,Hypothèses!$C$27,Hypothèses!$D$27)))))*((A25)-INT((A25-1)/12)*12)/12)*$B$1</f>
        <v>30.833333333333332</v>
      </c>
      <c r="I25">
        <f>(IF(B25=1,0,IF(B25=2,Hypothèses!$B$28,IF(B25=3,Hypothèses!$C$28,Hypothèses!$D$28)))+(IF(B25=1,Hypothèses!$B$28,IF(B25=2,Hypothèses!$C$28,IF(B25=3,Hypothèses!$D$28,Hypothèses!$D$28)))-(IF(B25=1,0,IF(B25=2,Hypothèses!$B$28,IF(B25=3,Hypothèses!$C$28,Hypothèses!$D$28)))))*((A25)-INT((A25-1)/12)*12)/12)*$B$1</f>
        <v>0.83333333333333337</v>
      </c>
      <c r="J25">
        <f>(IF(B25=1,0,IF(B25=2,Hypothèses!$B$29,IF(B25=3,Hypothèses!$C$29,Hypothèses!$D$29)))+(IF(B25=1,Hypothèses!$B$29,IF(B25=2,Hypothèses!$C$29,IF(B25=3,Hypothèses!$D$29,Hypothèses!$D$29)))-(IF(B25=1,0,IF(B25=2,Hypothèses!$B$29,IF(B25=3,Hypothèses!$C$29,Hypothèses!$D$29)))))*((A25)-INT((A25-1)/12)*12)/12)*$B$1</f>
        <v>0.83333333333333337</v>
      </c>
      <c r="K25">
        <f>IF(A25&lt;Hypothèses!$B$7,0,Hypothèses!$B$8*(1-Hypothèses!$B$9)^(A25-Hypothèses!$B$7))</f>
        <v>1.270932914164501E-2</v>
      </c>
      <c r="L25">
        <f t="shared" si="1"/>
        <v>37.000000000000007</v>
      </c>
      <c r="M25">
        <f>(C25*Hypothèses!$B$11+D25*Hypothèses!$B$12+E25*Hypothèses!$B$13+F25*Hypothèses!$B$14)*(IF(B25=1,Hypothèses!$B$20,IF(B25=2,Hypothèses!$B$21,Hypothèses!$B$22))+(1-(IF(B25=1,Hypothèses!$B$20,IF(B25=2,Hypothèses!$B$21,Hypothèses!$B$22))))*11/12)</f>
        <v>5605.0041666666666</v>
      </c>
      <c r="N25">
        <f>L25*IF(B25=1,Hypothèses!$C$20,IF(B25=2,Hypothèses!$C$21,Hypothèses!$C$22))*IF(B25=1,Hypothèses!$D$20,IF(B25=2,Hypothèses!$D$21,Hypothèses!$D$22))</f>
        <v>92.500000000000028</v>
      </c>
      <c r="O25">
        <f>IF(A25=18,IF($B$2&gt;=1,Hypothèses!$B$33,0),IF(AND(OR(A25=30,A25=34),$D$2&gt;=1),Hypothèses!$B$34*MIN(1,$D$2/3),0))</f>
        <v>0</v>
      </c>
      <c r="P25">
        <f t="shared" si="2"/>
        <v>5697.5041666666666</v>
      </c>
      <c r="Q25">
        <f>P25/(1+Hypothèses!$B$6)</f>
        <v>4747.9201388888887</v>
      </c>
      <c r="R25">
        <f>Hypothèses!$B$3*(1+Hypothèses!$B$4)^INT((A25-1)/3)</f>
        <v>1330.0099402343742</v>
      </c>
      <c r="S25">
        <f t="shared" si="3"/>
        <v>1</v>
      </c>
      <c r="T25">
        <f>S25*Hypothèses!$B$17</f>
        <v>4500</v>
      </c>
      <c r="U25">
        <f>Q25*Hypothèses!$B$5</f>
        <v>47.479201388888889</v>
      </c>
      <c r="V25">
        <f t="shared" si="4"/>
        <v>-1129.5690027343742</v>
      </c>
      <c r="W25">
        <f t="shared" si="5"/>
        <v>-9049.082369921869</v>
      </c>
    </row>
    <row r="26" spans="1:23" x14ac:dyDescent="0.25">
      <c r="A26">
        <v>23</v>
      </c>
      <c r="B26">
        <f t="shared" si="0"/>
        <v>2</v>
      </c>
      <c r="C26">
        <f>ROUND(IF(MOD($A26,12)=0,G26,(IF(26=4,0,C25))*(1-$K26)+IF((IF(26=4,0,C25))*(1-$K26)&lt;G26,(G26-(IF(26=4,0,C25))*(1-$K26))*Hypothèses!$B$10,0)),1)</f>
        <v>8.8000000000000007</v>
      </c>
      <c r="D26">
        <f>ROUND(IF(MOD($A26,12)=0,H26,(IF(26=4,0,D25))*(1-$K26)+IF((IF(26=4,0,D25))*(1-$K26)&lt;H26,(H26-(IF(26=4,0,D25))*(1-$K26))*Hypothèses!$B$10,0)),1)</f>
        <v>29.4</v>
      </c>
      <c r="E26">
        <f>ROUND(IF(MOD($A26,12)=0,I26,(IF(26=4,0,E25))*(1-$K26)+IF((IF(26=4,0,E25))*(1-$K26)&lt;I26,(I26-(IF(26=4,0,E25))*(1-$K26))*Hypothèses!$B$10,0)),1)</f>
        <v>0.8</v>
      </c>
      <c r="F26">
        <f>ROUND(IF(MOD($A26,12)=0,J26,(IF(26=4,0,F25))*(1-$K26)+IF((IF(26=4,0,F25))*(1-$K26)&lt;J26,(J26-(IF(26=4,0,F25))*(1-$K26))*Hypothèses!$B$10,0)),1)</f>
        <v>0.8</v>
      </c>
      <c r="G26">
        <f>(IF(B26=1,0,IF(B26=2,Hypothèses!$B$26,IF(B26=3,Hypothèses!$C$26,Hypothèses!$D$26)))+(IF(B26=1,Hypothèses!$B$26,IF(B26=2,Hypothèses!$C$26,IF(B26=3,Hypothèses!$D$26,Hypothèses!$D$26)))-(IF(B26=1,0,IF(B26=2,Hypothèses!$B$26,IF(B26=3,Hypothèses!$C$26,Hypothèses!$D$26)))))*((A26)-INT((A26-1)/12)*12)/12)*$B$1</f>
        <v>9.5833333333333321</v>
      </c>
      <c r="H26">
        <f>(IF(B26=1,0,IF(B26=2,Hypothèses!$B$27,IF(B26=3,Hypothèses!$C$27,Hypothèses!$D$27)))+(IF(B26=1,Hypothèses!$B$27,IF(B26=2,Hypothèses!$C$27,IF(B26=3,Hypothèses!$D$27,Hypothèses!$D$27)))-(IF(B26=1,0,IF(B26=2,Hypothèses!$B$27,IF(B26=3,Hypothèses!$C$27,Hypothèses!$D$27)))))*((A26)-INT((A26-1)/12)*12)/12)*$B$1</f>
        <v>32.916666666666671</v>
      </c>
      <c r="I26">
        <f>(IF(B26=1,0,IF(B26=2,Hypothèses!$B$28,IF(B26=3,Hypothèses!$C$28,Hypothèses!$D$28)))+(IF(B26=1,Hypothèses!$B$28,IF(B26=2,Hypothèses!$C$28,IF(B26=3,Hypothèses!$D$28,Hypothèses!$D$28)))-(IF(B26=1,0,IF(B26=2,Hypothèses!$B$28,IF(B26=3,Hypothèses!$C$28,Hypothèses!$D$28)))))*((A26)-INT((A26-1)/12)*12)/12)*$B$1</f>
        <v>0.91666666666666663</v>
      </c>
      <c r="J26">
        <f>(IF(B26=1,0,IF(B26=2,Hypothèses!$B$29,IF(B26=3,Hypothèses!$C$29,Hypothèses!$D$29)))+(IF(B26=1,Hypothèses!$B$29,IF(B26=2,Hypothèses!$C$29,IF(B26=3,Hypothèses!$D$29,Hypothèses!$D$29)))-(IF(B26=1,0,IF(B26=2,Hypothèses!$B$29,IF(B26=3,Hypothèses!$C$29,Hypothèses!$D$29)))))*((A26)-INT((A26-1)/12)*12)/12)*$B$1</f>
        <v>0.91666666666666663</v>
      </c>
      <c r="K26">
        <f>IF(A26&lt;Hypothèses!$B$7,0,Hypothèses!$B$8*(1-Hypothèses!$B$9)^(A26-Hypothèses!$B$7))</f>
        <v>1.1438396227480508E-2</v>
      </c>
      <c r="L26">
        <f t="shared" si="1"/>
        <v>39.799999999999997</v>
      </c>
      <c r="M26">
        <f>(C26*Hypothèses!$B$11+D26*Hypothèses!$B$12+E26*Hypothèses!$B$13+F26*Hypothèses!$B$14)*(IF(B26=1,Hypothèses!$B$20,IF(B26=2,Hypothèses!$B$21,Hypothèses!$B$22))+(1-(IF(B26=1,Hypothèses!$B$20,IF(B26=2,Hypothèses!$B$21,Hypothèses!$B$22))))*11/12)</f>
        <v>6090.2083333333321</v>
      </c>
      <c r="N26">
        <f>L26*IF(B26=1,Hypothèses!$C$20,IF(B26=2,Hypothèses!$C$21,Hypothèses!$C$22))*IF(B26=1,Hypothèses!$D$20,IF(B26=2,Hypothèses!$D$21,Hypothèses!$D$22))</f>
        <v>99.5</v>
      </c>
      <c r="O26">
        <f>IF(A26=18,IF($B$2&gt;=1,Hypothèses!$B$33,0),IF(AND(OR(A26=30,A26=34),$D$2&gt;=1),Hypothèses!$B$34*MIN(1,$D$2/3),0))</f>
        <v>0</v>
      </c>
      <c r="P26">
        <f t="shared" si="2"/>
        <v>6189.7083333333321</v>
      </c>
      <c r="Q26">
        <f>P26/(1+Hypothèses!$B$6)</f>
        <v>5158.0902777777774</v>
      </c>
      <c r="R26">
        <f>Hypothèses!$B$3*(1+Hypothèses!$B$4)^INT((A26-1)/3)</f>
        <v>1330.0099402343742</v>
      </c>
      <c r="S26">
        <f t="shared" si="3"/>
        <v>1</v>
      </c>
      <c r="T26">
        <f>S26*Hypothèses!$B$17</f>
        <v>4500</v>
      </c>
      <c r="U26">
        <f>Q26*Hypothèses!$B$5</f>
        <v>51.580902777777773</v>
      </c>
      <c r="V26">
        <f t="shared" si="4"/>
        <v>-723.50056523437433</v>
      </c>
      <c r="W26">
        <f t="shared" si="5"/>
        <v>-9772.5829351562425</v>
      </c>
    </row>
    <row r="27" spans="1:23" x14ac:dyDescent="0.25">
      <c r="A27">
        <v>24</v>
      </c>
      <c r="B27">
        <f t="shared" si="0"/>
        <v>2</v>
      </c>
      <c r="C27">
        <f>ROUND(IF(MOD($A27,12)=0,G27,(IF(27=4,0,C26))*(1-$K27)+IF((IF(27=4,0,C26))*(1-$K27)&lt;G27,(G27-(IF(27=4,0,C26))*(1-$K27))*Hypothèses!$B$10,0)),1)</f>
        <v>10</v>
      </c>
      <c r="D27">
        <f>ROUND(IF(MOD($A27,12)=0,H27,(IF(27=4,0,D26))*(1-$K27)+IF((IF(27=4,0,D26))*(1-$K27)&lt;H27,(H27-(IF(27=4,0,D26))*(1-$K27))*Hypothèses!$B$10,0)),1)</f>
        <v>35</v>
      </c>
      <c r="E27">
        <f>ROUND(IF(MOD($A27,12)=0,I27,(IF(27=4,0,E26))*(1-$K27)+IF((IF(27=4,0,E26))*(1-$K27)&lt;I27,(I27-(IF(27=4,0,E26))*(1-$K27))*Hypothèses!$B$10,0)),1)</f>
        <v>1</v>
      </c>
      <c r="F27">
        <f>ROUND(IF(MOD($A27,12)=0,J27,(IF(27=4,0,F26))*(1-$K27)+IF((IF(27=4,0,F26))*(1-$K27)&lt;J27,(J27-(IF(27=4,0,F26))*(1-$K27))*Hypothèses!$B$10,0)),1)</f>
        <v>1</v>
      </c>
      <c r="G27">
        <f>(IF(B27=1,0,IF(B27=2,Hypothèses!$B$26,IF(B27=3,Hypothèses!$C$26,Hypothèses!$D$26)))+(IF(B27=1,Hypothèses!$B$26,IF(B27=2,Hypothèses!$C$26,IF(B27=3,Hypothèses!$D$26,Hypothèses!$D$26)))-(IF(B27=1,0,IF(B27=2,Hypothèses!$B$26,IF(B27=3,Hypothèses!$C$26,Hypothèses!$D$26)))))*((A27)-INT((A27-1)/12)*12)/12)*$B$1</f>
        <v>10</v>
      </c>
      <c r="H27">
        <f>(IF(B27=1,0,IF(B27=2,Hypothèses!$B$27,IF(B27=3,Hypothèses!$C$27,Hypothèses!$D$27)))+(IF(B27=1,Hypothèses!$B$27,IF(B27=2,Hypothèses!$C$27,IF(B27=3,Hypothèses!$D$27,Hypothèses!$D$27)))-(IF(B27=1,0,IF(B27=2,Hypothèses!$B$27,IF(B27=3,Hypothèses!$C$27,Hypothèses!$D$27)))))*((A27)-INT((A27-1)/12)*12)/12)*$B$1</f>
        <v>35</v>
      </c>
      <c r="I27">
        <f>(IF(B27=1,0,IF(B27=2,Hypothèses!$B$28,IF(B27=3,Hypothèses!$C$28,Hypothèses!$D$28)))+(IF(B27=1,Hypothèses!$B$28,IF(B27=2,Hypothèses!$C$28,IF(B27=3,Hypothèses!$D$28,Hypothèses!$D$28)))-(IF(B27=1,0,IF(B27=2,Hypothèses!$B$28,IF(B27=3,Hypothèses!$C$28,Hypothèses!$D$28)))))*((A27)-INT((A27-1)/12)*12)/12)*$B$1</f>
        <v>1</v>
      </c>
      <c r="J27">
        <f>(IF(B27=1,0,IF(B27=2,Hypothèses!$B$29,IF(B27=3,Hypothèses!$C$29,Hypothèses!$D$29)))+(IF(B27=1,Hypothèses!$B$29,IF(B27=2,Hypothèses!$C$29,IF(B27=3,Hypothèses!$D$29,Hypothèses!$D$29)))-(IF(B27=1,0,IF(B27=2,Hypothèses!$B$29,IF(B27=3,Hypothèses!$C$29,Hypothèses!$D$29)))))*((A27)-INT((A27-1)/12)*12)/12)*$B$1</f>
        <v>1</v>
      </c>
      <c r="K27">
        <f>IF(A27&lt;Hypothèses!$B$7,0,Hypothèses!$B$8*(1-Hypothèses!$B$9)^(A27-Hypothèses!$B$7))</f>
        <v>1.0294556604732457E-2</v>
      </c>
      <c r="L27">
        <f t="shared" si="1"/>
        <v>47</v>
      </c>
      <c r="M27">
        <f>(C27*Hypothèses!$B$11+D27*Hypothèses!$B$12+E27*Hypothèses!$B$13+F27*Hypothèses!$B$14)*(IF(B27=1,Hypothèses!$B$20,IF(B27=2,Hypothèses!$B$21,Hypothèses!$B$22))+(1-(IF(B27=1,Hypothèses!$B$20,IF(B27=2,Hypothèses!$B$21,Hypothèses!$B$22))))*11/12)</f>
        <v>7277.583333333333</v>
      </c>
      <c r="N27">
        <f>L27*IF(B27=1,Hypothèses!$C$20,IF(B27=2,Hypothèses!$C$21,Hypothèses!$C$22))*IF(B27=1,Hypothèses!$D$20,IF(B27=2,Hypothèses!$D$21,Hypothèses!$D$22))</f>
        <v>117.5</v>
      </c>
      <c r="O27">
        <f>IF(A27=18,IF($B$2&gt;=1,Hypothèses!$B$33,0),IF(AND(OR(A27=30,A27=34),$D$2&gt;=1),Hypothèses!$B$34*MIN(1,$D$2/3),0))</f>
        <v>0</v>
      </c>
      <c r="P27">
        <f t="shared" si="2"/>
        <v>7395.083333333333</v>
      </c>
      <c r="Q27">
        <f>P27/(1+Hypothèses!$B$6)</f>
        <v>6162.5694444444443</v>
      </c>
      <c r="R27">
        <f>Hypothèses!$B$3*(1+Hypothèses!$B$4)^INT((A27-1)/3)</f>
        <v>1330.0099402343742</v>
      </c>
      <c r="S27">
        <f t="shared" si="3"/>
        <v>1</v>
      </c>
      <c r="T27">
        <f>S27*Hypothèses!$B$17</f>
        <v>4500</v>
      </c>
      <c r="U27">
        <f>Q27*Hypothèses!$B$5</f>
        <v>61.625694444444441</v>
      </c>
      <c r="V27">
        <f t="shared" si="4"/>
        <v>270.93380976562594</v>
      </c>
      <c r="W27">
        <f t="shared" si="5"/>
        <v>-9501.649125390617</v>
      </c>
    </row>
    <row r="28" spans="1:23" x14ac:dyDescent="0.25">
      <c r="A28">
        <v>25</v>
      </c>
      <c r="B28">
        <f t="shared" si="0"/>
        <v>3</v>
      </c>
      <c r="C28">
        <f>ROUND(IF(MOD($A28,12)=0,G28,(IF(28=4,0,C27))*(1-$K28)+IF((IF(28=4,0,C27))*(1-$K28)&lt;G28,(G28-(IF(28=4,0,C27))*(1-$K28))*Hypothèses!$B$10,0)),1)</f>
        <v>10.3</v>
      </c>
      <c r="D28">
        <f>ROUND(IF(MOD($A28,12)=0,H28,(IF(28=4,0,D27))*(1-$K28)+IF((IF(28=4,0,D27))*(1-$K28)&lt;H28,(H28-(IF(28=4,0,D27))*(1-$K28))*Hypothèses!$B$10,0)),1)</f>
        <v>36</v>
      </c>
      <c r="E28">
        <f>ROUND(IF(MOD($A28,12)=0,I28,(IF(28=4,0,E27))*(1-$K28)+IF((IF(28=4,0,E27))*(1-$K28)&lt;I28,(I28-(IF(28=4,0,E27))*(1-$K28))*Hypothèses!$B$10,0)),1)</f>
        <v>1.1000000000000001</v>
      </c>
      <c r="F28">
        <f>ROUND(IF(MOD($A28,12)=0,J28,(IF(28=4,0,F27))*(1-$K28)+IF((IF(28=4,0,F27))*(1-$K28)&lt;J28,(J28-(IF(28=4,0,F27))*(1-$K28))*Hypothèses!$B$10,0)),1)</f>
        <v>1</v>
      </c>
      <c r="G28">
        <f>(IF(B28=1,0,IF(B28=2,Hypothèses!$B$26,IF(B28=3,Hypothèses!$C$26,Hypothèses!$D$26)))+(IF(B28=1,Hypothèses!$B$26,IF(B28=2,Hypothèses!$C$26,IF(B28=3,Hypothèses!$D$26,Hypothèses!$D$26)))-(IF(B28=1,0,IF(B28=2,Hypothèses!$B$26,IF(B28=3,Hypothèses!$C$26,Hypothèses!$D$26)))))*((A28)-INT((A28-1)/12)*12)/12)*$B$1</f>
        <v>10.833333333333334</v>
      </c>
      <c r="H28">
        <f>(IF(B28=1,0,IF(B28=2,Hypothèses!$B$27,IF(B28=3,Hypothèses!$C$27,Hypothèses!$D$27)))+(IF(B28=1,Hypothèses!$B$27,IF(B28=2,Hypothèses!$C$27,IF(B28=3,Hypothèses!$D$27,Hypothèses!$D$27)))-(IF(B28=1,0,IF(B28=2,Hypothèses!$B$27,IF(B28=3,Hypothèses!$C$27,Hypothèses!$D$27)))))*((A28)-INT((A28-1)/12)*12)/12)*$B$1</f>
        <v>37.916666666666664</v>
      </c>
      <c r="I28">
        <f>(IF(B28=1,0,IF(B28=2,Hypothèses!$B$28,IF(B28=3,Hypothèses!$C$28,Hypothèses!$D$28)))+(IF(B28=1,Hypothèses!$B$28,IF(B28=2,Hypothèses!$C$28,IF(B28=3,Hypothèses!$D$28,Hypothèses!$D$28)))-(IF(B28=1,0,IF(B28=2,Hypothèses!$B$28,IF(B28=3,Hypothèses!$C$28,Hypothèses!$D$28)))))*((A28)-INT((A28-1)/12)*12)/12)*$B$1</f>
        <v>1.1666666666666667</v>
      </c>
      <c r="J28">
        <f>(IF(B28=1,0,IF(B28=2,Hypothèses!$B$29,IF(B28=3,Hypothèses!$C$29,Hypothèses!$D$29)))+(IF(B28=1,Hypothèses!$B$29,IF(B28=2,Hypothèses!$C$29,IF(B28=3,Hypothèses!$D$29,Hypothèses!$D$29)))-(IF(B28=1,0,IF(B28=2,Hypothèses!$B$29,IF(B28=3,Hypothèses!$C$29,Hypothèses!$D$29)))))*((A28)-INT((A28-1)/12)*12)/12)*$B$1</f>
        <v>1.0833333333333333</v>
      </c>
      <c r="K28">
        <f>IF(A28&lt;Hypothèses!$B$7,0,Hypothèses!$B$8*(1-Hypothèses!$B$9)^(A28-Hypothèses!$B$7))</f>
        <v>9.2651009442592126E-3</v>
      </c>
      <c r="L28">
        <f t="shared" si="1"/>
        <v>48.4</v>
      </c>
      <c r="M28">
        <f>(C28*Hypothèses!$B$11+D28*Hypothèses!$B$12+E28*Hypothèses!$B$13+F28*Hypothèses!$B$14)*(IF(B28=1,Hypothèses!$B$20,IF(B28=2,Hypothèses!$B$21,Hypothèses!$B$22))+(1-(IF(B28=1,Hypothèses!$B$20,IF(B28=2,Hypothèses!$B$21,Hypothèses!$B$22))))*11/12)</f>
        <v>7428.62</v>
      </c>
      <c r="N28">
        <f>L28*IF(B28=1,Hypothèses!$C$20,IF(B28=2,Hypothèses!$C$21,Hypothèses!$C$22))*IF(B28=1,Hypothèses!$D$20,IF(B28=2,Hypothèses!$D$21,Hypothèses!$D$22))</f>
        <v>174.24</v>
      </c>
      <c r="O28">
        <f>IF(A28=18,IF($B$2&gt;=1,Hypothèses!$B$33,0),IF(AND(OR(A28=30,A28=34),$D$2&gt;=1),Hypothèses!$B$34*MIN(1,$D$2/3),0))</f>
        <v>0</v>
      </c>
      <c r="P28">
        <f t="shared" si="2"/>
        <v>7602.86</v>
      </c>
      <c r="Q28">
        <f>P28/(1+Hypothèses!$B$6)</f>
        <v>6335.7166666666662</v>
      </c>
      <c r="R28">
        <f>Hypothèses!$B$3*(1+Hypothèses!$B$4)^INT((A28-1)/3)</f>
        <v>1529.5114312695302</v>
      </c>
      <c r="S28">
        <f t="shared" si="3"/>
        <v>1</v>
      </c>
      <c r="T28">
        <f>S28*Hypothèses!$B$17</f>
        <v>4500</v>
      </c>
      <c r="U28">
        <f>Q28*Hypothèses!$B$5</f>
        <v>63.357166666666664</v>
      </c>
      <c r="V28">
        <f t="shared" si="4"/>
        <v>242.84806873046909</v>
      </c>
      <c r="W28">
        <f t="shared" si="5"/>
        <v>-9258.8010566601479</v>
      </c>
    </row>
    <row r="29" spans="1:23" x14ac:dyDescent="0.25">
      <c r="A29">
        <v>26</v>
      </c>
      <c r="B29">
        <f t="shared" si="0"/>
        <v>3</v>
      </c>
      <c r="C29">
        <f>ROUND(IF(MOD($A29,12)=0,G29,(IF(29=4,0,C28))*(1-$K29)+IF((IF(29=4,0,C28))*(1-$K29)&lt;G29,(G29-(IF(29=4,0,C28))*(1-$K29))*Hypothèses!$B$10,0)),1)</f>
        <v>10.8</v>
      </c>
      <c r="D29">
        <f>ROUND(IF(MOD($A29,12)=0,H29,(IF(29=4,0,D28))*(1-$K29)+IF((IF(29=4,0,D28))*(1-$K29)&lt;H29,(H29-(IF(29=4,0,D28))*(1-$K29))*Hypothèses!$B$10,0)),1)</f>
        <v>37.799999999999997</v>
      </c>
      <c r="E29">
        <f>ROUND(IF(MOD($A29,12)=0,I29,(IF(29=4,0,E28))*(1-$K29)+IF((IF(29=4,0,E28))*(1-$K29)&lt;I29,(I29-(IF(29=4,0,E28))*(1-$K29))*Hypothèses!$B$10,0)),1)</f>
        <v>1.2</v>
      </c>
      <c r="F29">
        <f>ROUND(IF(MOD($A29,12)=0,J29,(IF(29=4,0,F28))*(1-$K29)+IF((IF(29=4,0,F28))*(1-$K29)&lt;J29,(J29-(IF(29=4,0,F28))*(1-$K29))*Hypothèses!$B$10,0)),1)</f>
        <v>1.1000000000000001</v>
      </c>
      <c r="G29">
        <f>(IF(B29=1,0,IF(B29=2,Hypothèses!$B$26,IF(B29=3,Hypothèses!$C$26,Hypothèses!$D$26)))+(IF(B29=1,Hypothèses!$B$26,IF(B29=2,Hypothèses!$C$26,IF(B29=3,Hypothèses!$D$26,Hypothèses!$D$26)))-(IF(B29=1,0,IF(B29=2,Hypothèses!$B$26,IF(B29=3,Hypothèses!$C$26,Hypothèses!$D$26)))))*((A29)-INT((A29-1)/12)*12)/12)*$B$1</f>
        <v>11.666666666666666</v>
      </c>
      <c r="H29">
        <f>(IF(B29=1,0,IF(B29=2,Hypothèses!$B$27,IF(B29=3,Hypothèses!$C$27,Hypothèses!$D$27)))+(IF(B29=1,Hypothèses!$B$27,IF(B29=2,Hypothèses!$C$27,IF(B29=3,Hypothèses!$D$27,Hypothèses!$D$27)))-(IF(B29=1,0,IF(B29=2,Hypothèses!$B$27,IF(B29=3,Hypothèses!$C$27,Hypothèses!$D$27)))))*((A29)-INT((A29-1)/12)*12)/12)*$B$1</f>
        <v>40.833333333333336</v>
      </c>
      <c r="I29">
        <f>(IF(B29=1,0,IF(B29=2,Hypothèses!$B$28,IF(B29=3,Hypothèses!$C$28,Hypothèses!$D$28)))+(IF(B29=1,Hypothèses!$B$28,IF(B29=2,Hypothèses!$C$28,IF(B29=3,Hypothèses!$D$28,Hypothèses!$D$28)))-(IF(B29=1,0,IF(B29=2,Hypothèses!$B$28,IF(B29=3,Hypothèses!$C$28,Hypothèses!$D$28)))))*((A29)-INT((A29-1)/12)*12)/12)*$B$1</f>
        <v>1.3333333333333333</v>
      </c>
      <c r="J29">
        <f>(IF(B29=1,0,IF(B29=2,Hypothèses!$B$29,IF(B29=3,Hypothèses!$C$29,Hypothèses!$D$29)))+(IF(B29=1,Hypothèses!$B$29,IF(B29=2,Hypothèses!$C$29,IF(B29=3,Hypothèses!$D$29,Hypothèses!$D$29)))-(IF(B29=1,0,IF(B29=2,Hypothèses!$B$29,IF(B29=3,Hypothèses!$C$29,Hypothèses!$D$29)))))*((A29)-INT((A29-1)/12)*12)/12)*$B$1</f>
        <v>1.1666666666666667</v>
      </c>
      <c r="K29">
        <f>IF(A29&lt;Hypothèses!$B$7,0,Hypothèses!$B$8*(1-Hypothèses!$B$9)^(A29-Hypothèses!$B$7))</f>
        <v>8.3385908498332922E-3</v>
      </c>
      <c r="L29">
        <f t="shared" si="1"/>
        <v>50.9</v>
      </c>
      <c r="M29">
        <f>(C29*Hypothèses!$B$11+D29*Hypothèses!$B$12+E29*Hypothèses!$B$13+F29*Hypothèses!$B$14)*(IF(B29=1,Hypothèses!$B$20,IF(B29=2,Hypothèses!$B$21,Hypothèses!$B$22))+(1-(IF(B29=1,Hypothèses!$B$20,IF(B29=2,Hypothèses!$B$21,Hypothèses!$B$22))))*11/12)</f>
        <v>7867.14</v>
      </c>
      <c r="N29">
        <f>L29*IF(B29=1,Hypothèses!$C$20,IF(B29=2,Hypothèses!$C$21,Hypothèses!$C$22))*IF(B29=1,Hypothèses!$D$20,IF(B29=2,Hypothèses!$D$21,Hypothèses!$D$22))</f>
        <v>183.23999999999998</v>
      </c>
      <c r="O29">
        <f>IF(A29=18,IF($B$2&gt;=1,Hypothèses!$B$33,0),IF(AND(OR(A29=30,A29=34),$D$2&gt;=1),Hypothèses!$B$34*MIN(1,$D$2/3),0))</f>
        <v>0</v>
      </c>
      <c r="P29">
        <f t="shared" si="2"/>
        <v>8050.38</v>
      </c>
      <c r="Q29">
        <f>P29/(1+Hypothèses!$B$6)</f>
        <v>6708.6500000000005</v>
      </c>
      <c r="R29">
        <f>Hypothèses!$B$3*(1+Hypothèses!$B$4)^INT((A29-1)/3)</f>
        <v>1529.5114312695302</v>
      </c>
      <c r="S29">
        <f t="shared" si="3"/>
        <v>1</v>
      </c>
      <c r="T29">
        <f>S29*Hypothèses!$B$17</f>
        <v>4500</v>
      </c>
      <c r="U29">
        <f>Q29*Hypothèses!$B$5</f>
        <v>67.086500000000001</v>
      </c>
      <c r="V29">
        <f t="shared" si="4"/>
        <v>612.05206873047007</v>
      </c>
      <c r="W29">
        <f t="shared" si="5"/>
        <v>-8646.7489879296772</v>
      </c>
    </row>
    <row r="30" spans="1:23" x14ac:dyDescent="0.25">
      <c r="A30">
        <v>27</v>
      </c>
      <c r="B30">
        <f t="shared" si="0"/>
        <v>3</v>
      </c>
      <c r="C30">
        <f>ROUND(IF(MOD($A30,12)=0,G30,(IF(30=4,0,C29))*(1-$K30)+IF((IF(30=4,0,C29))*(1-$K30)&lt;G30,(G30-(IF(30=4,0,C29))*(1-$K30))*Hypothèses!$B$10,0)),1)</f>
        <v>11.4</v>
      </c>
      <c r="D30">
        <f>ROUND(IF(MOD($A30,12)=0,H30,(IF(30=4,0,D29))*(1-$K30)+IF((IF(30=4,0,D29))*(1-$K30)&lt;H30,(H30-(IF(30=4,0,D29))*(1-$K30))*Hypothèses!$B$10,0)),1)</f>
        <v>40</v>
      </c>
      <c r="E30">
        <f>ROUND(IF(MOD($A30,12)=0,I30,(IF(30=4,0,E29))*(1-$K30)+IF((IF(30=4,0,E29))*(1-$K30)&lt;I30,(I30-(IF(30=4,0,E29))*(1-$K30))*Hypothèses!$B$10,0)),1)</f>
        <v>1.3</v>
      </c>
      <c r="F30">
        <f>ROUND(IF(MOD($A30,12)=0,J30,(IF(30=4,0,F29))*(1-$K30)+IF((IF(30=4,0,F29))*(1-$K30)&lt;J30,(J30-(IF(30=4,0,F29))*(1-$K30))*Hypothèses!$B$10,0)),1)</f>
        <v>1.2</v>
      </c>
      <c r="G30">
        <f>(IF(B30=1,0,IF(B30=2,Hypothèses!$B$26,IF(B30=3,Hypothèses!$C$26,Hypothèses!$D$26)))+(IF(B30=1,Hypothèses!$B$26,IF(B30=2,Hypothèses!$C$26,IF(B30=3,Hypothèses!$D$26,Hypothèses!$D$26)))-(IF(B30=1,0,IF(B30=2,Hypothèses!$B$26,IF(B30=3,Hypothèses!$C$26,Hypothèses!$D$26)))))*((A30)-INT((A30-1)/12)*12)/12)*$B$1</f>
        <v>12.5</v>
      </c>
      <c r="H30">
        <f>(IF(B30=1,0,IF(B30=2,Hypothèses!$B$27,IF(B30=3,Hypothèses!$C$27,Hypothèses!$D$27)))+(IF(B30=1,Hypothèses!$B$27,IF(B30=2,Hypothèses!$C$27,IF(B30=3,Hypothèses!$D$27,Hypothèses!$D$27)))-(IF(B30=1,0,IF(B30=2,Hypothèses!$B$27,IF(B30=3,Hypothèses!$C$27,Hypothèses!$D$27)))))*((A30)-INT((A30-1)/12)*12)/12)*$B$1</f>
        <v>43.75</v>
      </c>
      <c r="I30">
        <f>(IF(B30=1,0,IF(B30=2,Hypothèses!$B$28,IF(B30=3,Hypothèses!$C$28,Hypothèses!$D$28)))+(IF(B30=1,Hypothèses!$B$28,IF(B30=2,Hypothèses!$C$28,IF(B30=3,Hypothèses!$D$28,Hypothèses!$D$28)))-(IF(B30=1,0,IF(B30=2,Hypothèses!$B$28,IF(B30=3,Hypothèses!$C$28,Hypothèses!$D$28)))))*((A30)-INT((A30-1)/12)*12)/12)*$B$1</f>
        <v>1.5</v>
      </c>
      <c r="J30">
        <f>(IF(B30=1,0,IF(B30=2,Hypothèses!$B$29,IF(B30=3,Hypothèses!$C$29,Hypothèses!$D$29)))+(IF(B30=1,Hypothèses!$B$29,IF(B30=2,Hypothèses!$C$29,IF(B30=3,Hypothèses!$D$29,Hypothèses!$D$29)))-(IF(B30=1,0,IF(B30=2,Hypothèses!$B$29,IF(B30=3,Hypothèses!$C$29,Hypothèses!$D$29)))))*((A30)-INT((A30-1)/12)*12)/12)*$B$1</f>
        <v>1.25</v>
      </c>
      <c r="K30">
        <f>IF(A30&lt;Hypothèses!$B$7,0,Hypothèses!$B$8*(1-Hypothèses!$B$9)^(A30-Hypothèses!$B$7))</f>
        <v>7.5047317648499617E-3</v>
      </c>
      <c r="L30">
        <f t="shared" si="1"/>
        <v>53.9</v>
      </c>
      <c r="M30">
        <f>(C30*Hypothèses!$B$11+D30*Hypothèses!$B$12+E30*Hypothèses!$B$13+F30*Hypothèses!$B$14)*(IF(B30=1,Hypothèses!$B$20,IF(B30=2,Hypothèses!$B$21,Hypothèses!$B$22))+(1-(IF(B30=1,Hypothèses!$B$20,IF(B30=2,Hypothèses!$B$21,Hypothèses!$B$22))))*11/12)</f>
        <v>8370.7349999999988</v>
      </c>
      <c r="N30">
        <f>L30*IF(B30=1,Hypothèses!$C$20,IF(B30=2,Hypothèses!$C$21,Hypothèses!$C$22))*IF(B30=1,Hypothèses!$D$20,IF(B30=2,Hypothèses!$D$21,Hypothèses!$D$22))</f>
        <v>194.04</v>
      </c>
      <c r="O30">
        <f>IF(A30=18,IF($B$2&gt;=1,Hypothèses!$B$33,0),IF(AND(OR(A30=30,A30=34),$D$2&gt;=1),Hypothèses!$B$34*MIN(1,$D$2/3),0))</f>
        <v>0</v>
      </c>
      <c r="P30">
        <f t="shared" si="2"/>
        <v>8564.7749999999996</v>
      </c>
      <c r="Q30">
        <f>P30/(1+Hypothèses!$B$6)</f>
        <v>7137.3125</v>
      </c>
      <c r="R30">
        <f>Hypothèses!$B$3*(1+Hypothèses!$B$4)^INT((A30-1)/3)</f>
        <v>1529.5114312695302</v>
      </c>
      <c r="S30">
        <f t="shared" si="3"/>
        <v>1</v>
      </c>
      <c r="T30">
        <f>S30*Hypothèses!$B$17</f>
        <v>4500</v>
      </c>
      <c r="U30">
        <f>Q30*Hypothèses!$B$5</f>
        <v>71.373125000000002</v>
      </c>
      <c r="V30">
        <f t="shared" si="4"/>
        <v>1036.4279437304695</v>
      </c>
      <c r="W30">
        <f t="shared" si="5"/>
        <v>-7610.3210441992078</v>
      </c>
    </row>
    <row r="31" spans="1:23" x14ac:dyDescent="0.25">
      <c r="A31">
        <v>28</v>
      </c>
      <c r="B31">
        <f t="shared" si="0"/>
        <v>3</v>
      </c>
      <c r="C31">
        <f>ROUND(IF(MOD($A31,12)=0,G31,(IF(31=4,0,C30))*(1-$K31)+IF((IF(31=4,0,C30))*(1-$K31)&lt;G31,(G31-(IF(31=4,0,C30))*(1-$K31))*Hypothèses!$B$10,0)),1)</f>
        <v>12.1</v>
      </c>
      <c r="D31">
        <f>ROUND(IF(MOD($A31,12)=0,H31,(IF(31=4,0,D30))*(1-$K31)+IF((IF(31=4,0,D30))*(1-$K31)&lt;H31,(H31-(IF(31=4,0,D30))*(1-$K31))*Hypothèses!$B$10,0)),1)</f>
        <v>42.5</v>
      </c>
      <c r="E31">
        <f>ROUND(IF(MOD($A31,12)=0,I31,(IF(31=4,0,E30))*(1-$K31)+IF((IF(31=4,0,E30))*(1-$K31)&lt;I31,(I31-(IF(31=4,0,E30))*(1-$K31))*Hypothèses!$B$10,0)),1)</f>
        <v>1.4</v>
      </c>
      <c r="F31">
        <f>ROUND(IF(MOD($A31,12)=0,J31,(IF(31=4,0,F30))*(1-$K31)+IF((IF(31=4,0,F30))*(1-$K31)&lt;J31,(J31-(IF(31=4,0,F30))*(1-$K31))*Hypothèses!$B$10,0)),1)</f>
        <v>1.2</v>
      </c>
      <c r="G31">
        <f>(IF(B31=1,0,IF(B31=2,Hypothèses!$B$26,IF(B31=3,Hypothèses!$C$26,Hypothèses!$D$26)))+(IF(B31=1,Hypothèses!$B$26,IF(B31=2,Hypothèses!$C$26,IF(B31=3,Hypothèses!$D$26,Hypothèses!$D$26)))-(IF(B31=1,0,IF(B31=2,Hypothèses!$B$26,IF(B31=3,Hypothèses!$C$26,Hypothèses!$D$26)))))*((A31)-INT((A31-1)/12)*12)/12)*$B$1</f>
        <v>13.333333333333334</v>
      </c>
      <c r="H31">
        <f>(IF(B31=1,0,IF(B31=2,Hypothèses!$B$27,IF(B31=3,Hypothèses!$C$27,Hypothèses!$D$27)))+(IF(B31=1,Hypothèses!$B$27,IF(B31=2,Hypothèses!$C$27,IF(B31=3,Hypothèses!$D$27,Hypothèses!$D$27)))-(IF(B31=1,0,IF(B31=2,Hypothèses!$B$27,IF(B31=3,Hypothèses!$C$27,Hypothèses!$D$27)))))*((A31)-INT((A31-1)/12)*12)/12)*$B$1</f>
        <v>46.666666666666664</v>
      </c>
      <c r="I31">
        <f>(IF(B31=1,0,IF(B31=2,Hypothèses!$B$28,IF(B31=3,Hypothèses!$C$28,Hypothèses!$D$28)))+(IF(B31=1,Hypothèses!$B$28,IF(B31=2,Hypothèses!$C$28,IF(B31=3,Hypothèses!$D$28,Hypothèses!$D$28)))-(IF(B31=1,0,IF(B31=2,Hypothèses!$B$28,IF(B31=3,Hypothèses!$C$28,Hypothèses!$D$28)))))*((A31)-INT((A31-1)/12)*12)/12)*$B$1</f>
        <v>1.6666666666666665</v>
      </c>
      <c r="J31">
        <f>(IF(B31=1,0,IF(B31=2,Hypothèses!$B$29,IF(B31=3,Hypothèses!$C$29,Hypothèses!$D$29)))+(IF(B31=1,Hypothèses!$B$29,IF(B31=2,Hypothèses!$C$29,IF(B31=3,Hypothèses!$D$29,Hypothèses!$D$29)))-(IF(B31=1,0,IF(B31=2,Hypothèses!$B$29,IF(B31=3,Hypothèses!$C$29,Hypothèses!$D$29)))))*((A31)-INT((A31-1)/12)*12)/12)*$B$1</f>
        <v>1.3333333333333333</v>
      </c>
      <c r="K31">
        <f>IF(A31&lt;Hypothèses!$B$7,0,Hypothèses!$B$8*(1-Hypothèses!$B$9)^(A31-Hypothèses!$B$7))</f>
        <v>6.754258588364967E-3</v>
      </c>
      <c r="L31">
        <f t="shared" si="1"/>
        <v>57.2</v>
      </c>
      <c r="M31">
        <f>(C31*Hypothèses!$B$11+D31*Hypothèses!$B$12+E31*Hypothèses!$B$13+F31*Hypothèses!$B$14)*(IF(B31=1,Hypothèses!$B$20,IF(B31=2,Hypothèses!$B$21,Hypothèses!$B$22))+(1-(IF(B31=1,Hypothèses!$B$20,IF(B31=2,Hypothèses!$B$21,Hypothèses!$B$22))))*11/12)</f>
        <v>8831.1999999999989</v>
      </c>
      <c r="N31">
        <f>L31*IF(B31=1,Hypothèses!$C$20,IF(B31=2,Hypothèses!$C$21,Hypothèses!$C$22))*IF(B31=1,Hypothèses!$D$20,IF(B31=2,Hypothèses!$D$21,Hypothèses!$D$22))</f>
        <v>205.92</v>
      </c>
      <c r="O31">
        <f>IF(A31=18,IF($B$2&gt;=1,Hypothèses!$B$33,0),IF(AND(OR(A31=30,A31=34),$D$2&gt;=1),Hypothèses!$B$34*MIN(1,$D$2/3),0))</f>
        <v>0</v>
      </c>
      <c r="P31">
        <f t="shared" si="2"/>
        <v>9037.119999999999</v>
      </c>
      <c r="Q31">
        <f>P31/(1+Hypothèses!$B$6)</f>
        <v>7530.9333333333325</v>
      </c>
      <c r="R31">
        <f>Hypothèses!$B$3*(1+Hypothèses!$B$4)^INT((A31-1)/3)</f>
        <v>1758.9381459599595</v>
      </c>
      <c r="S31">
        <f t="shared" si="3"/>
        <v>1</v>
      </c>
      <c r="T31">
        <f>S31*Hypothèses!$B$17</f>
        <v>4500</v>
      </c>
      <c r="U31">
        <f>Q31*Hypothèses!$B$5</f>
        <v>75.309333333333328</v>
      </c>
      <c r="V31">
        <f t="shared" si="4"/>
        <v>1196.6858540400401</v>
      </c>
      <c r="W31">
        <f t="shared" si="5"/>
        <v>-6413.6351901591679</v>
      </c>
    </row>
    <row r="32" spans="1:23" x14ac:dyDescent="0.25">
      <c r="A32">
        <v>29</v>
      </c>
      <c r="B32">
        <f t="shared" si="0"/>
        <v>3</v>
      </c>
      <c r="C32">
        <f>ROUND(IF(MOD($A32,12)=0,G32,(IF(32=4,0,C31))*(1-$K32)+IF((IF(32=4,0,C31))*(1-$K32)&lt;G32,(G32-(IF(32=4,0,C31))*(1-$K32))*Hypothèses!$B$10,0)),1)</f>
        <v>12.9</v>
      </c>
      <c r="D32">
        <f>ROUND(IF(MOD($A32,12)=0,H32,(IF(32=4,0,D31))*(1-$K32)+IF((IF(32=4,0,D31))*(1-$K32)&lt;H32,(H32-(IF(32=4,0,D31))*(1-$K32))*Hypothèses!$B$10,0)),1)</f>
        <v>45.2</v>
      </c>
      <c r="E32">
        <f>ROUND(IF(MOD($A32,12)=0,I32,(IF(32=4,0,E31))*(1-$K32)+IF((IF(32=4,0,E31))*(1-$K32)&lt;I32,(I32-(IF(32=4,0,E31))*(1-$K32))*Hypothèses!$B$10,0)),1)</f>
        <v>1.6</v>
      </c>
      <c r="F32">
        <f>ROUND(IF(MOD($A32,12)=0,J32,(IF(32=4,0,F31))*(1-$K32)+IF((IF(32=4,0,F31))*(1-$K32)&lt;J32,(J32-(IF(32=4,0,F31))*(1-$K32))*Hypothèses!$B$10,0)),1)</f>
        <v>1.3</v>
      </c>
      <c r="G32">
        <f>(IF(B32=1,0,IF(B32=2,Hypothèses!$B$26,IF(B32=3,Hypothèses!$C$26,Hypothèses!$D$26)))+(IF(B32=1,Hypothèses!$B$26,IF(B32=2,Hypothèses!$C$26,IF(B32=3,Hypothèses!$D$26,Hypothèses!$D$26)))-(IF(B32=1,0,IF(B32=2,Hypothèses!$B$26,IF(B32=3,Hypothèses!$C$26,Hypothèses!$D$26)))))*((A32)-INT((A32-1)/12)*12)/12)*$B$1</f>
        <v>14.166666666666668</v>
      </c>
      <c r="H32">
        <f>(IF(B32=1,0,IF(B32=2,Hypothèses!$B$27,IF(B32=3,Hypothèses!$C$27,Hypothèses!$D$27)))+(IF(B32=1,Hypothèses!$B$27,IF(B32=2,Hypothèses!$C$27,IF(B32=3,Hypothèses!$D$27,Hypothèses!$D$27)))-(IF(B32=1,0,IF(B32=2,Hypothèses!$B$27,IF(B32=3,Hypothèses!$C$27,Hypothèses!$D$27)))))*((A32)-INT((A32-1)/12)*12)/12)*$B$1</f>
        <v>49.583333333333336</v>
      </c>
      <c r="I32">
        <f>(IF(B32=1,0,IF(B32=2,Hypothèses!$B$28,IF(B32=3,Hypothèses!$C$28,Hypothèses!$D$28)))+(IF(B32=1,Hypothèses!$B$28,IF(B32=2,Hypothèses!$C$28,IF(B32=3,Hypothèses!$D$28,Hypothèses!$D$28)))-(IF(B32=1,0,IF(B32=2,Hypothèses!$B$28,IF(B32=3,Hypothèses!$C$28,Hypothèses!$D$28)))))*((A32)-INT((A32-1)/12)*12)/12)*$B$1</f>
        <v>1.8333333333333335</v>
      </c>
      <c r="J32">
        <f>(IF(B32=1,0,IF(B32=2,Hypothèses!$B$29,IF(B32=3,Hypothèses!$C$29,Hypothèses!$D$29)))+(IF(B32=1,Hypothèses!$B$29,IF(B32=2,Hypothèses!$C$29,IF(B32=3,Hypothèses!$D$29,Hypothèses!$D$29)))-(IF(B32=1,0,IF(B32=2,Hypothèses!$B$29,IF(B32=3,Hypothèses!$C$29,Hypothèses!$D$29)))))*((A32)-INT((A32-1)/12)*12)/12)*$B$1</f>
        <v>1.4166666666666667</v>
      </c>
      <c r="K32">
        <f>IF(A32&lt;Hypothèses!$B$7,0,Hypothèses!$B$8*(1-Hypothèses!$B$9)^(A32-Hypothèses!$B$7))</f>
        <v>6.0788327295284708E-3</v>
      </c>
      <c r="L32">
        <f t="shared" si="1"/>
        <v>61</v>
      </c>
      <c r="M32">
        <f>(C32*Hypothèses!$B$11+D32*Hypothèses!$B$12+E32*Hypothèses!$B$13+F32*Hypothèses!$B$14)*(IF(B32=1,Hypothèses!$B$20,IF(B32=2,Hypothèses!$B$21,Hypothèses!$B$22))+(1-(IF(B32=1,Hypothèses!$B$20,IF(B32=2,Hypothèses!$B$21,Hypothèses!$B$22))))*11/12)</f>
        <v>9469.8850000000002</v>
      </c>
      <c r="N32">
        <f>L32*IF(B32=1,Hypothèses!$C$20,IF(B32=2,Hypothèses!$C$21,Hypothèses!$C$22))*IF(B32=1,Hypothèses!$D$20,IF(B32=2,Hypothèses!$D$21,Hypothèses!$D$22))</f>
        <v>219.6</v>
      </c>
      <c r="O32">
        <f>IF(A32=18,IF($B$2&gt;=1,Hypothèses!$B$33,0),IF(AND(OR(A32=30,A32=34),$D$2&gt;=1),Hypothèses!$B$34*MIN(1,$D$2/3),0))</f>
        <v>0</v>
      </c>
      <c r="P32">
        <f t="shared" si="2"/>
        <v>9689.4850000000006</v>
      </c>
      <c r="Q32">
        <f>P32/(1+Hypothèses!$B$6)</f>
        <v>8074.5708333333341</v>
      </c>
      <c r="R32">
        <f>Hypothèses!$B$3*(1+Hypothèses!$B$4)^INT((A32-1)/3)</f>
        <v>1758.9381459599595</v>
      </c>
      <c r="S32">
        <f t="shared" si="3"/>
        <v>1</v>
      </c>
      <c r="T32">
        <f>S32*Hypothèses!$B$17</f>
        <v>4500</v>
      </c>
      <c r="U32">
        <f>Q32*Hypothèses!$B$5</f>
        <v>80.74570833333334</v>
      </c>
      <c r="V32">
        <f t="shared" si="4"/>
        <v>1734.8869790400408</v>
      </c>
      <c r="W32">
        <f t="shared" si="5"/>
        <v>-4678.7482111191275</v>
      </c>
    </row>
    <row r="33" spans="1:23" x14ac:dyDescent="0.25">
      <c r="A33">
        <v>30</v>
      </c>
      <c r="B33">
        <f t="shared" si="0"/>
        <v>3</v>
      </c>
      <c r="C33">
        <f>ROUND(IF(MOD($A33,12)=0,G33,(IF(33=4,0,C32))*(1-$K33)+IF((IF(33=4,0,C32))*(1-$K33)&lt;G33,(G33-(IF(33=4,0,C32))*(1-$K33))*Hypothèses!$B$10,0)),1)</f>
        <v>13.7</v>
      </c>
      <c r="D33">
        <f>ROUND(IF(MOD($A33,12)=0,H33,(IF(33=4,0,D32))*(1-$K33)+IF((IF(33=4,0,D32))*(1-$K33)&lt;H33,(H33-(IF(33=4,0,D32))*(1-$K33))*Hypothèses!$B$10,0)),1)</f>
        <v>48</v>
      </c>
      <c r="E33">
        <f>ROUND(IF(MOD($A33,12)=0,I33,(IF(33=4,0,E32))*(1-$K33)+IF((IF(33=4,0,E32))*(1-$K33)&lt;I33,(I33-(IF(33=4,0,E32))*(1-$K33))*Hypothèses!$B$10,0)),1)</f>
        <v>1.8</v>
      </c>
      <c r="F33">
        <f>ROUND(IF(MOD($A33,12)=0,J33,(IF(33=4,0,F32))*(1-$K33)+IF((IF(33=4,0,F32))*(1-$K33)&lt;J33,(J33-(IF(33=4,0,F32))*(1-$K33))*Hypothèses!$B$10,0)),1)</f>
        <v>1.4</v>
      </c>
      <c r="G33">
        <f>(IF(B33=1,0,IF(B33=2,Hypothèses!$B$26,IF(B33=3,Hypothèses!$C$26,Hypothèses!$D$26)))+(IF(B33=1,Hypothèses!$B$26,IF(B33=2,Hypothèses!$C$26,IF(B33=3,Hypothèses!$D$26,Hypothèses!$D$26)))-(IF(B33=1,0,IF(B33=2,Hypothèses!$B$26,IF(B33=3,Hypothèses!$C$26,Hypothèses!$D$26)))))*((A33)-INT((A33-1)/12)*12)/12)*$B$1</f>
        <v>15</v>
      </c>
      <c r="H33">
        <f>(IF(B33=1,0,IF(B33=2,Hypothèses!$B$27,IF(B33=3,Hypothèses!$C$27,Hypothèses!$D$27)))+(IF(B33=1,Hypothèses!$B$27,IF(B33=2,Hypothèses!$C$27,IF(B33=3,Hypothèses!$D$27,Hypothèses!$D$27)))-(IF(B33=1,0,IF(B33=2,Hypothèses!$B$27,IF(B33=3,Hypothèses!$C$27,Hypothèses!$D$27)))))*((A33)-INT((A33-1)/12)*12)/12)*$B$1</f>
        <v>52.5</v>
      </c>
      <c r="I33">
        <f>(IF(B33=1,0,IF(B33=2,Hypothèses!$B$28,IF(B33=3,Hypothèses!$C$28,Hypothèses!$D$28)))+(IF(B33=1,Hypothèses!$B$28,IF(B33=2,Hypothèses!$C$28,IF(B33=3,Hypothèses!$D$28,Hypothèses!$D$28)))-(IF(B33=1,0,IF(B33=2,Hypothèses!$B$28,IF(B33=3,Hypothèses!$C$28,Hypothèses!$D$28)))))*((A33)-INT((A33-1)/12)*12)/12)*$B$1</f>
        <v>2</v>
      </c>
      <c r="J33">
        <f>(IF(B33=1,0,IF(B33=2,Hypothèses!$B$29,IF(B33=3,Hypothèses!$C$29,Hypothèses!$D$29)))+(IF(B33=1,Hypothèses!$B$29,IF(B33=2,Hypothèses!$C$29,IF(B33=3,Hypothèses!$D$29,Hypothèses!$D$29)))-(IF(B33=1,0,IF(B33=2,Hypothèses!$B$29,IF(B33=3,Hypothèses!$C$29,Hypothèses!$D$29)))))*((A33)-INT((A33-1)/12)*12)/12)*$B$1</f>
        <v>1.5</v>
      </c>
      <c r="K33">
        <f>IF(A33&lt;Hypothèses!$B$7,0,Hypothèses!$B$8*(1-Hypothèses!$B$9)^(A33-Hypothèses!$B$7))</f>
        <v>5.4709494565756238E-3</v>
      </c>
      <c r="L33">
        <f t="shared" si="1"/>
        <v>64.900000000000006</v>
      </c>
      <c r="M33">
        <f>(C33*Hypothèses!$B$11+D33*Hypothèses!$B$12+E33*Hypothèses!$B$13+F33*Hypothèses!$B$14)*(IF(B33=1,Hypothèses!$B$20,IF(B33=2,Hypothèses!$B$21,Hypothèses!$B$22))+(1-(IF(B33=1,Hypothèses!$B$20,IF(B33=2,Hypothèses!$B$21,Hypothèses!$B$22))))*11/12)</f>
        <v>10122.725</v>
      </c>
      <c r="N33">
        <f>L33*IF(B33=1,Hypothèses!$C$20,IF(B33=2,Hypothèses!$C$21,Hypothèses!$C$22))*IF(B33=1,Hypothèses!$D$20,IF(B33=2,Hypothèses!$D$21,Hypothèses!$D$22))</f>
        <v>233.64000000000001</v>
      </c>
      <c r="O33">
        <f>IF(A33=18,IF($B$2&gt;=1,Hypothèses!$B$33,0),IF(AND(OR(A33=30,A33=34),$D$2&gt;=1),Hypothèses!$B$34*MIN(1,$D$2/3),0))</f>
        <v>17000</v>
      </c>
      <c r="P33">
        <f t="shared" si="2"/>
        <v>27356.364999999998</v>
      </c>
      <c r="Q33">
        <f>P33/(1+Hypothèses!$B$6)</f>
        <v>22796.970833333333</v>
      </c>
      <c r="R33">
        <f>Hypothèses!$B$3*(1+Hypothèses!$B$4)^INT((A33-1)/3)</f>
        <v>1758.9381459599595</v>
      </c>
      <c r="S33">
        <f t="shared" si="3"/>
        <v>1</v>
      </c>
      <c r="T33">
        <f>S33*Hypothèses!$B$17</f>
        <v>4500</v>
      </c>
      <c r="U33">
        <f>Q33*Hypothèses!$B$5</f>
        <v>227.96970833333333</v>
      </c>
      <c r="V33">
        <f t="shared" si="4"/>
        <v>16310.062979040038</v>
      </c>
      <c r="W33">
        <f t="shared" si="5"/>
        <v>11631.314767920911</v>
      </c>
    </row>
    <row r="34" spans="1:23" x14ac:dyDescent="0.25">
      <c r="A34">
        <v>31</v>
      </c>
      <c r="B34">
        <f t="shared" si="0"/>
        <v>3</v>
      </c>
      <c r="C34">
        <f>ROUND(IF(MOD($A34,12)=0,G34,(IF(34=4,0,C33))*(1-$K34)+IF((IF(34=4,0,C33))*(1-$K34)&lt;G34,(G34-(IF(34=4,0,C33))*(1-$K34))*Hypothèses!$B$10,0)),1)</f>
        <v>14.5</v>
      </c>
      <c r="D34">
        <f>ROUND(IF(MOD($A34,12)=0,H34,(IF(34=4,0,D33))*(1-$K34)+IF((IF(34=4,0,D33))*(1-$K34)&lt;H34,(H34-(IF(34=4,0,D33))*(1-$K34))*Hypothèses!$B$10,0)),1)</f>
        <v>50.8</v>
      </c>
      <c r="E34">
        <f>ROUND(IF(MOD($A34,12)=0,I34,(IF(34=4,0,E33))*(1-$K34)+IF((IF(34=4,0,E33))*(1-$K34)&lt;I34,(I34-(IF(34=4,0,E33))*(1-$K34))*Hypothèses!$B$10,0)),1)</f>
        <v>1.9</v>
      </c>
      <c r="F34">
        <f>ROUND(IF(MOD($A34,12)=0,J34,(IF(34=4,0,F33))*(1-$K34)+IF((IF(34=4,0,F33))*(1-$K34)&lt;J34,(J34-(IF(34=4,0,F33))*(1-$K34))*Hypothèses!$B$10,0)),1)</f>
        <v>1.5</v>
      </c>
      <c r="G34">
        <f>(IF(B34=1,0,IF(B34=2,Hypothèses!$B$26,IF(B34=3,Hypothèses!$C$26,Hypothèses!$D$26)))+(IF(B34=1,Hypothèses!$B$26,IF(B34=2,Hypothèses!$C$26,IF(B34=3,Hypothèses!$D$26,Hypothèses!$D$26)))-(IF(B34=1,0,IF(B34=2,Hypothèses!$B$26,IF(B34=3,Hypothèses!$C$26,Hypothèses!$D$26)))))*((A34)-INT((A34-1)/12)*12)/12)*$B$1</f>
        <v>15.833333333333332</v>
      </c>
      <c r="H34">
        <f>(IF(B34=1,0,IF(B34=2,Hypothèses!$B$27,IF(B34=3,Hypothèses!$C$27,Hypothèses!$D$27)))+(IF(B34=1,Hypothèses!$B$27,IF(B34=2,Hypothèses!$C$27,IF(B34=3,Hypothèses!$D$27,Hypothèses!$D$27)))-(IF(B34=1,0,IF(B34=2,Hypothèses!$B$27,IF(B34=3,Hypothèses!$C$27,Hypothèses!$D$27)))))*((A34)-INT((A34-1)/12)*12)/12)*$B$1</f>
        <v>55.416666666666671</v>
      </c>
      <c r="I34">
        <f>(IF(B34=1,0,IF(B34=2,Hypothèses!$B$28,IF(B34=3,Hypothèses!$C$28,Hypothèses!$D$28)))+(IF(B34=1,Hypothèses!$B$28,IF(B34=2,Hypothèses!$C$28,IF(B34=3,Hypothèses!$D$28,Hypothèses!$D$28)))-(IF(B34=1,0,IF(B34=2,Hypothèses!$B$28,IF(B34=3,Hypothèses!$C$28,Hypothèses!$D$28)))))*((A34)-INT((A34-1)/12)*12)/12)*$B$1</f>
        <v>2.166666666666667</v>
      </c>
      <c r="J34">
        <f>(IF(B34=1,0,IF(B34=2,Hypothèses!$B$29,IF(B34=3,Hypothèses!$C$29,Hypothèses!$D$29)))+(IF(B34=1,Hypothèses!$B$29,IF(B34=2,Hypothèses!$C$29,IF(B34=3,Hypothèses!$D$29,Hypothèses!$D$29)))-(IF(B34=1,0,IF(B34=2,Hypothèses!$B$29,IF(B34=3,Hypothèses!$C$29,Hypothèses!$D$29)))))*((A34)-INT((A34-1)/12)*12)/12)*$B$1</f>
        <v>1.5833333333333335</v>
      </c>
      <c r="K34">
        <f>IF(A34&lt;Hypothèses!$B$7,0,Hypothèses!$B$8*(1-Hypothèses!$B$9)^(A34-Hypothèses!$B$7))</f>
        <v>4.9238545109180623E-3</v>
      </c>
      <c r="L34">
        <f t="shared" si="1"/>
        <v>68.7</v>
      </c>
      <c r="M34">
        <f>(C34*Hypothèses!$B$11+D34*Hypothèses!$B$12+E34*Hypothèses!$B$13+F34*Hypothèses!$B$14)*(IF(B34=1,Hypothèses!$B$20,IF(B34=2,Hypothèses!$B$21,Hypothèses!$B$22))+(1-(IF(B34=1,Hypothèses!$B$20,IF(B34=2,Hypothèses!$B$21,Hypothèses!$B$22))))*11/12)</f>
        <v>10728.16</v>
      </c>
      <c r="N34">
        <f>L34*IF(B34=1,Hypothèses!$C$20,IF(B34=2,Hypothèses!$C$21,Hypothèses!$C$22))*IF(B34=1,Hypothèses!$D$20,IF(B34=2,Hypothèses!$D$21,Hypothèses!$D$22))</f>
        <v>247.32</v>
      </c>
      <c r="O34">
        <f>IF(A34=18,IF($B$2&gt;=1,Hypothèses!$B$33,0),IF(AND(OR(A34=30,A34=34),$D$2&gt;=1),Hypothèses!$B$34*MIN(1,$D$2/3),0))</f>
        <v>0</v>
      </c>
      <c r="P34">
        <f t="shared" si="2"/>
        <v>10975.48</v>
      </c>
      <c r="Q34">
        <f>P34/(1+Hypothèses!$B$6)</f>
        <v>9146.2333333333336</v>
      </c>
      <c r="R34">
        <f>Hypothèses!$B$3*(1+Hypothèses!$B$4)^INT((A34-1)/3)</f>
        <v>2022.7788678539534</v>
      </c>
      <c r="S34">
        <f t="shared" si="3"/>
        <v>1</v>
      </c>
      <c r="T34">
        <f>S34*Hypothèses!$B$17</f>
        <v>4500</v>
      </c>
      <c r="U34">
        <f>Q34*Hypothèses!$B$5</f>
        <v>91.462333333333333</v>
      </c>
      <c r="V34">
        <f t="shared" si="4"/>
        <v>2531.9921321460465</v>
      </c>
      <c r="W34">
        <f t="shared" si="5"/>
        <v>14163.306900066957</v>
      </c>
    </row>
    <row r="35" spans="1:23" x14ac:dyDescent="0.25">
      <c r="A35">
        <v>32</v>
      </c>
      <c r="B35">
        <f t="shared" si="0"/>
        <v>3</v>
      </c>
      <c r="C35">
        <f>ROUND(IF(MOD($A35,12)=0,G35,(IF(35=4,0,C34))*(1-$K35)+IF((IF(35=4,0,C34))*(1-$K35)&lt;G35,(G35-(IF(35=4,0,C34))*(1-$K35))*Hypothèses!$B$10,0)),1)</f>
        <v>15.3</v>
      </c>
      <c r="D35">
        <f>ROUND(IF(MOD($A35,12)=0,H35,(IF(35=4,0,D34))*(1-$K35)+IF((IF(35=4,0,D34))*(1-$K35)&lt;H35,(H35-(IF(35=4,0,D34))*(1-$K35))*Hypothèses!$B$10,0)),1)</f>
        <v>53.7</v>
      </c>
      <c r="E35">
        <f>ROUND(IF(MOD($A35,12)=0,I35,(IF(35=4,0,E34))*(1-$K35)+IF((IF(35=4,0,E34))*(1-$K35)&lt;I35,(I35-(IF(35=4,0,E34))*(1-$K35))*Hypothèses!$B$10,0)),1)</f>
        <v>2.1</v>
      </c>
      <c r="F35">
        <f>ROUND(IF(MOD($A35,12)=0,J35,(IF(35=4,0,F34))*(1-$K35)+IF((IF(35=4,0,F34))*(1-$K35)&lt;J35,(J35-(IF(35=4,0,F34))*(1-$K35))*Hypothèses!$B$10,0)),1)</f>
        <v>1.6</v>
      </c>
      <c r="G35">
        <f>(IF(B35=1,0,IF(B35=2,Hypothèses!$B$26,IF(B35=3,Hypothèses!$C$26,Hypothèses!$D$26)))+(IF(B35=1,Hypothèses!$B$26,IF(B35=2,Hypothèses!$C$26,IF(B35=3,Hypothèses!$D$26,Hypothèses!$D$26)))-(IF(B35=1,0,IF(B35=2,Hypothèses!$B$26,IF(B35=3,Hypothèses!$C$26,Hypothèses!$D$26)))))*((A35)-INT((A35-1)/12)*12)/12)*$B$1</f>
        <v>16.666666666666668</v>
      </c>
      <c r="H35">
        <f>(IF(B35=1,0,IF(B35=2,Hypothèses!$B$27,IF(B35=3,Hypothèses!$C$27,Hypothèses!$D$27)))+(IF(B35=1,Hypothèses!$B$27,IF(B35=2,Hypothèses!$C$27,IF(B35=3,Hypothèses!$D$27,Hypothèses!$D$27)))-(IF(B35=1,0,IF(B35=2,Hypothèses!$B$27,IF(B35=3,Hypothèses!$C$27,Hypothèses!$D$27)))))*((A35)-INT((A35-1)/12)*12)/12)*$B$1</f>
        <v>58.333333333333329</v>
      </c>
      <c r="I35">
        <f>(IF(B35=1,0,IF(B35=2,Hypothèses!$B$28,IF(B35=3,Hypothèses!$C$28,Hypothèses!$D$28)))+(IF(B35=1,Hypothèses!$B$28,IF(B35=2,Hypothèses!$C$28,IF(B35=3,Hypothèses!$D$28,Hypothèses!$D$28)))-(IF(B35=1,0,IF(B35=2,Hypothèses!$B$28,IF(B35=3,Hypothèses!$C$28,Hypothèses!$D$28)))))*((A35)-INT((A35-1)/12)*12)/12)*$B$1</f>
        <v>2.333333333333333</v>
      </c>
      <c r="J35">
        <f>(IF(B35=1,0,IF(B35=2,Hypothèses!$B$29,IF(B35=3,Hypothèses!$C$29,Hypothèses!$D$29)))+(IF(B35=1,Hypothèses!$B$29,IF(B35=2,Hypothèses!$C$29,IF(B35=3,Hypothèses!$D$29,Hypothèses!$D$29)))-(IF(B35=1,0,IF(B35=2,Hypothèses!$B$29,IF(B35=3,Hypothèses!$C$29,Hypothèses!$D$29)))))*((A35)-INT((A35-1)/12)*12)/12)*$B$1</f>
        <v>1.6666666666666665</v>
      </c>
      <c r="K35">
        <f>IF(A35&lt;Hypothèses!$B$7,0,Hypothèses!$B$8*(1-Hypothèses!$B$9)^(A35-Hypothèses!$B$7))</f>
        <v>4.4314690598262554E-3</v>
      </c>
      <c r="L35">
        <f t="shared" si="1"/>
        <v>72.699999999999989</v>
      </c>
      <c r="M35">
        <f>(C35*Hypothèses!$B$11+D35*Hypothèses!$B$12+E35*Hypothèses!$B$13+F35*Hypothèses!$B$14)*(IF(B35=1,Hypothèses!$B$20,IF(B35=2,Hypothèses!$B$21,Hypothèses!$B$22))+(1-(IF(B35=1,Hypothèses!$B$20,IF(B35=2,Hypothèses!$B$21,Hypothèses!$B$22))))*11/12)</f>
        <v>11395.154999999999</v>
      </c>
      <c r="N35">
        <f>L35*IF(B35=1,Hypothèses!$C$20,IF(B35=2,Hypothèses!$C$21,Hypothèses!$C$22))*IF(B35=1,Hypothèses!$D$20,IF(B35=2,Hypothèses!$D$21,Hypothèses!$D$22))</f>
        <v>261.71999999999997</v>
      </c>
      <c r="O35">
        <f>IF(A35=18,IF($B$2&gt;=1,Hypothèses!$B$33,0),IF(AND(OR(A35=30,A35=34),$D$2&gt;=1),Hypothèses!$B$34*MIN(1,$D$2/3),0))</f>
        <v>0</v>
      </c>
      <c r="P35">
        <f t="shared" si="2"/>
        <v>11656.874999999998</v>
      </c>
      <c r="Q35">
        <f>P35/(1+Hypothèses!$B$6)</f>
        <v>9714.0624999999982</v>
      </c>
      <c r="R35">
        <f>Hypothèses!$B$3*(1+Hypothèses!$B$4)^INT((A35-1)/3)</f>
        <v>2022.7788678539534</v>
      </c>
      <c r="S35">
        <f t="shared" si="3"/>
        <v>1</v>
      </c>
      <c r="T35">
        <f>S35*Hypothèses!$B$17</f>
        <v>4500</v>
      </c>
      <c r="U35">
        <f>Q35*Hypothèses!$B$5</f>
        <v>97.140624999999986</v>
      </c>
      <c r="V35">
        <f t="shared" si="4"/>
        <v>3094.1430071460445</v>
      </c>
      <c r="W35">
        <f t="shared" si="5"/>
        <v>17257.449907213002</v>
      </c>
    </row>
    <row r="36" spans="1:23" x14ac:dyDescent="0.25">
      <c r="A36">
        <v>33</v>
      </c>
      <c r="B36">
        <f t="shared" si="0"/>
        <v>3</v>
      </c>
      <c r="C36">
        <f>ROUND(IF(MOD($A36,12)=0,G36,(IF(36=4,0,C35))*(1-$K36)+IF((IF(36=4,0,C35))*(1-$K36)&lt;G36,(G36-(IF(36=4,0,C35))*(1-$K36))*Hypothèses!$B$10,0)),1)</f>
        <v>16.100000000000001</v>
      </c>
      <c r="D36">
        <f>ROUND(IF(MOD($A36,12)=0,H36,(IF(36=4,0,D35))*(1-$K36)+IF((IF(36=4,0,D35))*(1-$K36)&lt;H36,(H36-(IF(36=4,0,D35))*(1-$K36))*Hypothèses!$B$10,0)),1)</f>
        <v>56.6</v>
      </c>
      <c r="E36">
        <f>ROUND(IF(MOD($A36,12)=0,I36,(IF(36=4,0,E35))*(1-$K36)+IF((IF(36=4,0,E35))*(1-$K36)&lt;I36,(I36-(IF(36=4,0,E35))*(1-$K36))*Hypothèses!$B$10,0)),1)</f>
        <v>2.2999999999999998</v>
      </c>
      <c r="F36">
        <f>ROUND(IF(MOD($A36,12)=0,J36,(IF(36=4,0,F35))*(1-$K36)+IF((IF(36=4,0,F35))*(1-$K36)&lt;J36,(J36-(IF(36=4,0,F35))*(1-$K36))*Hypothèses!$B$10,0)),1)</f>
        <v>1.7</v>
      </c>
      <c r="G36">
        <f>(IF(B36=1,0,IF(B36=2,Hypothèses!$B$26,IF(B36=3,Hypothèses!$C$26,Hypothèses!$D$26)))+(IF(B36=1,Hypothèses!$B$26,IF(B36=2,Hypothèses!$C$26,IF(B36=3,Hypothèses!$D$26,Hypothèses!$D$26)))-(IF(B36=1,0,IF(B36=2,Hypothèses!$B$26,IF(B36=3,Hypothèses!$C$26,Hypothèses!$D$26)))))*((A36)-INT((A36-1)/12)*12)/12)*$B$1</f>
        <v>17.5</v>
      </c>
      <c r="H36">
        <f>(IF(B36=1,0,IF(B36=2,Hypothèses!$B$27,IF(B36=3,Hypothèses!$C$27,Hypothèses!$D$27)))+(IF(B36=1,Hypothèses!$B$27,IF(B36=2,Hypothèses!$C$27,IF(B36=3,Hypothèses!$D$27,Hypothèses!$D$27)))-(IF(B36=1,0,IF(B36=2,Hypothèses!$B$27,IF(B36=3,Hypothèses!$C$27,Hypothèses!$D$27)))))*((A36)-INT((A36-1)/12)*12)/12)*$B$1</f>
        <v>61.25</v>
      </c>
      <c r="I36">
        <f>(IF(B36=1,0,IF(B36=2,Hypothèses!$B$28,IF(B36=3,Hypothèses!$C$28,Hypothèses!$D$28)))+(IF(B36=1,Hypothèses!$B$28,IF(B36=2,Hypothèses!$C$28,IF(B36=3,Hypothèses!$D$28,Hypothèses!$D$28)))-(IF(B36=1,0,IF(B36=2,Hypothèses!$B$28,IF(B36=3,Hypothèses!$C$28,Hypothèses!$D$28)))))*((A36)-INT((A36-1)/12)*12)/12)*$B$1</f>
        <v>2.5</v>
      </c>
      <c r="J36">
        <f>(IF(B36=1,0,IF(B36=2,Hypothèses!$B$29,IF(B36=3,Hypothèses!$C$29,Hypothèses!$D$29)))+(IF(B36=1,Hypothèses!$B$29,IF(B36=2,Hypothèses!$C$29,IF(B36=3,Hypothèses!$D$29,Hypothèses!$D$29)))-(IF(B36=1,0,IF(B36=2,Hypothèses!$B$29,IF(B36=3,Hypothèses!$C$29,Hypothèses!$D$29)))))*((A36)-INT((A36-1)/12)*12)/12)*$B$1</f>
        <v>1.75</v>
      </c>
      <c r="K36">
        <f>IF(A36&lt;Hypothèses!$B$7,0,Hypothèses!$B$8*(1-Hypothèses!$B$9)^(A36-Hypothèses!$B$7))</f>
        <v>3.9883221538436304E-3</v>
      </c>
      <c r="L36">
        <f t="shared" si="1"/>
        <v>76.7</v>
      </c>
      <c r="M36">
        <f>(C36*Hypothèses!$B$11+D36*Hypothèses!$B$12+E36*Hypothèses!$B$13+F36*Hypothèses!$B$14)*(IF(B36=1,Hypothèses!$B$20,IF(B36=2,Hypothèses!$B$21,Hypothèses!$B$22))+(1-(IF(B36=1,Hypothèses!$B$20,IF(B36=2,Hypothèses!$B$21,Hypothèses!$B$22))))*11/12)</f>
        <v>12062.15</v>
      </c>
      <c r="N36">
        <f>L36*IF(B36=1,Hypothèses!$C$20,IF(B36=2,Hypothèses!$C$21,Hypothèses!$C$22))*IF(B36=1,Hypothèses!$D$20,IF(B36=2,Hypothèses!$D$21,Hypothèses!$D$22))</f>
        <v>276.12</v>
      </c>
      <c r="O36">
        <f>IF(A36=18,IF($B$2&gt;=1,Hypothèses!$B$33,0),IF(AND(OR(A36=30,A36=34),$D$2&gt;=1),Hypothèses!$B$34*MIN(1,$D$2/3),0))</f>
        <v>0</v>
      </c>
      <c r="P36">
        <f t="shared" si="2"/>
        <v>12338.27</v>
      </c>
      <c r="Q36">
        <f>P36/(1+Hypothèses!$B$6)</f>
        <v>10281.891666666668</v>
      </c>
      <c r="R36">
        <f>Hypothèses!$B$3*(1+Hypothèses!$B$4)^INT((A36-1)/3)</f>
        <v>2022.7788678539534</v>
      </c>
      <c r="S36">
        <f t="shared" si="3"/>
        <v>1</v>
      </c>
      <c r="T36">
        <f>S36*Hypothèses!$B$17</f>
        <v>4500</v>
      </c>
      <c r="U36">
        <f>Q36*Hypothèses!$B$5</f>
        <v>102.81891666666668</v>
      </c>
      <c r="V36">
        <f t="shared" si="4"/>
        <v>3656.2938821460489</v>
      </c>
      <c r="W36">
        <f t="shared" si="5"/>
        <v>20913.74378935905</v>
      </c>
    </row>
    <row r="37" spans="1:23" x14ac:dyDescent="0.25">
      <c r="A37">
        <v>34</v>
      </c>
      <c r="B37">
        <f t="shared" si="0"/>
        <v>3</v>
      </c>
      <c r="C37">
        <f>ROUND(IF(MOD($A37,12)=0,G37,(IF(37=4,0,C36))*(1-$K37)+IF((IF(37=4,0,C36))*(1-$K37)&lt;G37,(G37-(IF(37=4,0,C36))*(1-$K37))*Hypothèses!$B$10,0)),1)</f>
        <v>17</v>
      </c>
      <c r="D37">
        <f>ROUND(IF(MOD($A37,12)=0,H37,(IF(37=4,0,D36))*(1-$K37)+IF((IF(37=4,0,D36))*(1-$K37)&lt;H37,(H37-(IF(37=4,0,D36))*(1-$K37))*Hypothèses!$B$10,0)),1)</f>
        <v>59.5</v>
      </c>
      <c r="E37">
        <f>ROUND(IF(MOD($A37,12)=0,I37,(IF(37=4,0,E36))*(1-$K37)+IF((IF(37=4,0,E36))*(1-$K37)&lt;I37,(I37-(IF(37=4,0,E36))*(1-$K37))*Hypothèses!$B$10,0)),1)</f>
        <v>2.4</v>
      </c>
      <c r="F37">
        <f>ROUND(IF(MOD($A37,12)=0,J37,(IF(37=4,0,F36))*(1-$K37)+IF((IF(37=4,0,F36))*(1-$K37)&lt;J37,(J37-(IF(37=4,0,F36))*(1-$K37))*Hypothèses!$B$10,0)),1)</f>
        <v>1.7</v>
      </c>
      <c r="G37">
        <f>(IF(B37=1,0,IF(B37=2,Hypothèses!$B$26,IF(B37=3,Hypothèses!$C$26,Hypothèses!$D$26)))+(IF(B37=1,Hypothèses!$B$26,IF(B37=2,Hypothèses!$C$26,IF(B37=3,Hypothèses!$D$26,Hypothèses!$D$26)))-(IF(B37=1,0,IF(B37=2,Hypothèses!$B$26,IF(B37=3,Hypothèses!$C$26,Hypothèses!$D$26)))))*((A37)-INT((A37-1)/12)*12)/12)*$B$1</f>
        <v>18.333333333333336</v>
      </c>
      <c r="H37">
        <f>(IF(B37=1,0,IF(B37=2,Hypothèses!$B$27,IF(B37=3,Hypothèses!$C$27,Hypothèses!$D$27)))+(IF(B37=1,Hypothèses!$B$27,IF(B37=2,Hypothèses!$C$27,IF(B37=3,Hypothèses!$D$27,Hypothèses!$D$27)))-(IF(B37=1,0,IF(B37=2,Hypothèses!$B$27,IF(B37=3,Hypothèses!$C$27,Hypothèses!$D$27)))))*((A37)-INT((A37-1)/12)*12)/12)*$B$1</f>
        <v>64.166666666666671</v>
      </c>
      <c r="I37">
        <f>(IF(B37=1,0,IF(B37=2,Hypothèses!$B$28,IF(B37=3,Hypothèses!$C$28,Hypothèses!$D$28)))+(IF(B37=1,Hypothèses!$B$28,IF(B37=2,Hypothèses!$C$28,IF(B37=3,Hypothèses!$D$28,Hypothèses!$D$28)))-(IF(B37=1,0,IF(B37=2,Hypothèses!$B$28,IF(B37=3,Hypothèses!$C$28,Hypothèses!$D$28)))))*((A37)-INT((A37-1)/12)*12)/12)*$B$1</f>
        <v>2.666666666666667</v>
      </c>
      <c r="J37">
        <f>(IF(B37=1,0,IF(B37=2,Hypothèses!$B$29,IF(B37=3,Hypothèses!$C$29,Hypothèses!$D$29)))+(IF(B37=1,Hypothèses!$B$29,IF(B37=2,Hypothèses!$C$29,IF(B37=3,Hypothèses!$D$29,Hypothèses!$D$29)))-(IF(B37=1,0,IF(B37=2,Hypothèses!$B$29,IF(B37=3,Hypothèses!$C$29,Hypothèses!$D$29)))))*((A37)-INT((A37-1)/12)*12)/12)*$B$1</f>
        <v>1.8333333333333335</v>
      </c>
      <c r="K37">
        <f>IF(A37&lt;Hypothèses!$B$7,0,Hypothèses!$B$8*(1-Hypothèses!$B$9)^(A37-Hypothèses!$B$7))</f>
        <v>3.5894899384592673E-3</v>
      </c>
      <c r="L37">
        <f t="shared" si="1"/>
        <v>80.600000000000009</v>
      </c>
      <c r="M37">
        <f>(C37*Hypothèses!$B$11+D37*Hypothèses!$B$12+E37*Hypothèses!$B$13+F37*Hypothèses!$B$14)*(IF(B37=1,Hypothèses!$B$20,IF(B37=2,Hypothèses!$B$21,Hypothèses!$B$22))+(1-(IF(B37=1,Hypothèses!$B$20,IF(B37=2,Hypothèses!$B$21,Hypothèses!$B$22))))*11/12)</f>
        <v>12596.145</v>
      </c>
      <c r="N37">
        <f>L37*IF(B37=1,Hypothèses!$C$20,IF(B37=2,Hypothèses!$C$21,Hypothèses!$C$22))*IF(B37=1,Hypothèses!$D$20,IF(B37=2,Hypothèses!$D$21,Hypothèses!$D$22))</f>
        <v>290.16000000000003</v>
      </c>
      <c r="O37">
        <f>IF(A37=18,IF($B$2&gt;=1,Hypothèses!$B$33,0),IF(AND(OR(A37=30,A37=34),$D$2&gt;=1),Hypothèses!$B$34*MIN(1,$D$2/3),0))</f>
        <v>17000</v>
      </c>
      <c r="P37">
        <f t="shared" si="2"/>
        <v>29886.305</v>
      </c>
      <c r="Q37">
        <f>P37/(1+Hypothèses!$B$6)</f>
        <v>24905.254166666669</v>
      </c>
      <c r="R37">
        <f>Hypothèses!$B$3*(1+Hypothèses!$B$4)^INT((A37-1)/3)</f>
        <v>2326.195698032046</v>
      </c>
      <c r="S37">
        <f t="shared" si="3"/>
        <v>1</v>
      </c>
      <c r="T37">
        <f>S37*Hypothèses!$B$17</f>
        <v>4500</v>
      </c>
      <c r="U37">
        <f>Q37*Hypothèses!$B$5</f>
        <v>249.05254166666671</v>
      </c>
      <c r="V37">
        <f t="shared" si="4"/>
        <v>17830.005926967955</v>
      </c>
      <c r="W37">
        <f t="shared" si="5"/>
        <v>38743.749716327002</v>
      </c>
    </row>
    <row r="38" spans="1:23" x14ac:dyDescent="0.25">
      <c r="A38">
        <v>35</v>
      </c>
      <c r="B38">
        <f t="shared" si="0"/>
        <v>3</v>
      </c>
      <c r="C38">
        <f>ROUND(IF(MOD($A38,12)=0,G38,(IF(38=4,0,C37))*(1-$K38)+IF((IF(38=4,0,C37))*(1-$K38)&lt;G38,(G38-(IF(38=4,0,C37))*(1-$K38))*Hypothèses!$B$10,0)),1)</f>
        <v>17.8</v>
      </c>
      <c r="D38">
        <f>ROUND(IF(MOD($A38,12)=0,H38,(IF(38=4,0,D37))*(1-$K38)+IF((IF(38=4,0,D37))*(1-$K38)&lt;H38,(H38-(IF(38=4,0,D37))*(1-$K38))*Hypothèses!$B$10,0)),1)</f>
        <v>62.4</v>
      </c>
      <c r="E38">
        <f>ROUND(IF(MOD($A38,12)=0,I38,(IF(38=4,0,E37))*(1-$K38)+IF((IF(38=4,0,E37))*(1-$K38)&lt;I38,(I38-(IF(38=4,0,E37))*(1-$K38))*Hypothèses!$B$10,0)),1)</f>
        <v>2.6</v>
      </c>
      <c r="F38">
        <f>ROUND(IF(MOD($A38,12)=0,J38,(IF(38=4,0,F37))*(1-$K38)+IF((IF(38=4,0,F37))*(1-$K38)&lt;J38,(J38-(IF(38=4,0,F37))*(1-$K38))*Hypothèses!$B$10,0)),1)</f>
        <v>1.8</v>
      </c>
      <c r="G38">
        <f>(IF(B38=1,0,IF(B38=2,Hypothèses!$B$26,IF(B38=3,Hypothèses!$C$26,Hypothèses!$D$26)))+(IF(B38=1,Hypothèses!$B$26,IF(B38=2,Hypothèses!$C$26,IF(B38=3,Hypothèses!$D$26,Hypothèses!$D$26)))-(IF(B38=1,0,IF(B38=2,Hypothèses!$B$26,IF(B38=3,Hypothèses!$C$26,Hypothèses!$D$26)))))*((A38)-INT((A38-1)/12)*12)/12)*$B$1</f>
        <v>19.166666666666664</v>
      </c>
      <c r="H38">
        <f>(IF(B38=1,0,IF(B38=2,Hypothèses!$B$27,IF(B38=3,Hypothèses!$C$27,Hypothèses!$D$27)))+(IF(B38=1,Hypothèses!$B$27,IF(B38=2,Hypothèses!$C$27,IF(B38=3,Hypothèses!$D$27,Hypothèses!$D$27)))-(IF(B38=1,0,IF(B38=2,Hypothèses!$B$27,IF(B38=3,Hypothèses!$C$27,Hypothèses!$D$27)))))*((A38)-INT((A38-1)/12)*12)/12)*$B$1</f>
        <v>67.083333333333343</v>
      </c>
      <c r="I38">
        <f>(IF(B38=1,0,IF(B38=2,Hypothèses!$B$28,IF(B38=3,Hypothèses!$C$28,Hypothèses!$D$28)))+(IF(B38=1,Hypothèses!$B$28,IF(B38=2,Hypothèses!$C$28,IF(B38=3,Hypothèses!$D$28,Hypothèses!$D$28)))-(IF(B38=1,0,IF(B38=2,Hypothèses!$B$28,IF(B38=3,Hypothèses!$C$28,Hypothèses!$D$28)))))*((A38)-INT((A38-1)/12)*12)/12)*$B$1</f>
        <v>2.833333333333333</v>
      </c>
      <c r="J38">
        <f>(IF(B38=1,0,IF(B38=2,Hypothèses!$B$29,IF(B38=3,Hypothèses!$C$29,Hypothèses!$D$29)))+(IF(B38=1,Hypothèses!$B$29,IF(B38=2,Hypothèses!$C$29,IF(B38=3,Hypothèses!$D$29,Hypothèses!$D$29)))-(IF(B38=1,0,IF(B38=2,Hypothèses!$B$29,IF(B38=3,Hypothèses!$C$29,Hypothèses!$D$29)))))*((A38)-INT((A38-1)/12)*12)/12)*$B$1</f>
        <v>1.9166666666666665</v>
      </c>
      <c r="K38">
        <f>IF(A38&lt;Hypothèses!$B$7,0,Hypothèses!$B$8*(1-Hypothèses!$B$9)^(A38-Hypothèses!$B$7))</f>
        <v>3.2305409446133412E-3</v>
      </c>
      <c r="L38">
        <f t="shared" si="1"/>
        <v>84.6</v>
      </c>
      <c r="M38">
        <f>(C38*Hypothèses!$B$11+D38*Hypothèses!$B$12+E38*Hypothèses!$B$13+F38*Hypothèses!$B$14)*(IF(B38=1,Hypothèses!$B$20,IF(B38=2,Hypothèses!$B$21,Hypothèses!$B$22))+(1-(IF(B38=1,Hypothèses!$B$20,IF(B38=2,Hypothèses!$B$21,Hypothèses!$B$22))))*11/12)</f>
        <v>13263.14</v>
      </c>
      <c r="N38">
        <f>L38*IF(B38=1,Hypothèses!$C$20,IF(B38=2,Hypothèses!$C$21,Hypothèses!$C$22))*IF(B38=1,Hypothèses!$D$20,IF(B38=2,Hypothèses!$D$21,Hypothèses!$D$22))</f>
        <v>304.56</v>
      </c>
      <c r="O38">
        <f>IF(A38=18,IF($B$2&gt;=1,Hypothèses!$B$33,0),IF(AND(OR(A38=30,A38=34),$D$2&gt;=1),Hypothèses!$B$34*MIN(1,$D$2/3),0))</f>
        <v>0</v>
      </c>
      <c r="P38">
        <f t="shared" si="2"/>
        <v>13567.699999999999</v>
      </c>
      <c r="Q38">
        <f>P38/(1+Hypothèses!$B$6)</f>
        <v>11306.416666666666</v>
      </c>
      <c r="R38">
        <f>Hypothèses!$B$3*(1+Hypothèses!$B$4)^INT((A38-1)/3)</f>
        <v>2326.195698032046</v>
      </c>
      <c r="S38">
        <f t="shared" si="3"/>
        <v>1</v>
      </c>
      <c r="T38">
        <f>S38*Hypothèses!$B$17</f>
        <v>4500</v>
      </c>
      <c r="U38">
        <f>Q38*Hypothèses!$B$5</f>
        <v>113.06416666666667</v>
      </c>
      <c r="V38">
        <f t="shared" si="4"/>
        <v>4367.1568019679526</v>
      </c>
      <c r="W38">
        <f t="shared" si="5"/>
        <v>43110.906518294956</v>
      </c>
    </row>
    <row r="39" spans="1:23" x14ac:dyDescent="0.25">
      <c r="A39">
        <v>36</v>
      </c>
      <c r="B39">
        <f t="shared" si="0"/>
        <v>3</v>
      </c>
      <c r="C39">
        <f>ROUND(IF(MOD($A39,12)=0,G39,(IF(39=4,0,C38))*(1-$K39)+IF((IF(39=4,0,C38))*(1-$K39)&lt;G39,(G39-(IF(39=4,0,C38))*(1-$K39))*Hypothèses!$B$10,0)),1)</f>
        <v>20</v>
      </c>
      <c r="D39">
        <f>ROUND(IF(MOD($A39,12)=0,H39,(IF(39=4,0,D38))*(1-$K39)+IF((IF(39=4,0,D38))*(1-$K39)&lt;H39,(H39-(IF(39=4,0,D38))*(1-$K39))*Hypothèses!$B$10,0)),1)</f>
        <v>70</v>
      </c>
      <c r="E39">
        <f>ROUND(IF(MOD($A39,12)=0,I39,(IF(39=4,0,E38))*(1-$K39)+IF((IF(39=4,0,E38))*(1-$K39)&lt;I39,(I39-(IF(39=4,0,E38))*(1-$K39))*Hypothèses!$B$10,0)),1)</f>
        <v>3</v>
      </c>
      <c r="F39">
        <f>ROUND(IF(MOD($A39,12)=0,J39,(IF(39=4,0,F38))*(1-$K39)+IF((IF(39=4,0,F38))*(1-$K39)&lt;J39,(J39-(IF(39=4,0,F38))*(1-$K39))*Hypothèses!$B$10,0)),1)</f>
        <v>2</v>
      </c>
      <c r="G39">
        <f>(IF(B39=1,0,IF(B39=2,Hypothèses!$B$26,IF(B39=3,Hypothèses!$C$26,Hypothèses!$D$26)))+(IF(B39=1,Hypothèses!$B$26,IF(B39=2,Hypothèses!$C$26,IF(B39=3,Hypothèses!$D$26,Hypothèses!$D$26)))-(IF(B39=1,0,IF(B39=2,Hypothèses!$B$26,IF(B39=3,Hypothèses!$C$26,Hypothèses!$D$26)))))*((A39)-INT((A39-1)/12)*12)/12)*$B$1</f>
        <v>20</v>
      </c>
      <c r="H39">
        <f>(IF(B39=1,0,IF(B39=2,Hypothèses!$B$27,IF(B39=3,Hypothèses!$C$27,Hypothèses!$D$27)))+(IF(B39=1,Hypothèses!$B$27,IF(B39=2,Hypothèses!$C$27,IF(B39=3,Hypothèses!$D$27,Hypothèses!$D$27)))-(IF(B39=1,0,IF(B39=2,Hypothèses!$B$27,IF(B39=3,Hypothèses!$C$27,Hypothèses!$D$27)))))*((A39)-INT((A39-1)/12)*12)/12)*$B$1</f>
        <v>70</v>
      </c>
      <c r="I39">
        <f>(IF(B39=1,0,IF(B39=2,Hypothèses!$B$28,IF(B39=3,Hypothèses!$C$28,Hypothèses!$D$28)))+(IF(B39=1,Hypothèses!$B$28,IF(B39=2,Hypothèses!$C$28,IF(B39=3,Hypothèses!$D$28,Hypothèses!$D$28)))-(IF(B39=1,0,IF(B39=2,Hypothèses!$B$28,IF(B39=3,Hypothèses!$C$28,Hypothèses!$D$28)))))*((A39)-INT((A39-1)/12)*12)/12)*$B$1</f>
        <v>3</v>
      </c>
      <c r="J39">
        <f>(IF(B39=1,0,IF(B39=2,Hypothèses!$B$29,IF(B39=3,Hypothèses!$C$29,Hypothèses!$D$29)))+(IF(B39=1,Hypothèses!$B$29,IF(B39=2,Hypothèses!$C$29,IF(B39=3,Hypothèses!$D$29,Hypothèses!$D$29)))-(IF(B39=1,0,IF(B39=2,Hypothèses!$B$29,IF(B39=3,Hypothèses!$C$29,Hypothèses!$D$29)))))*((A39)-INT((A39-1)/12)*12)/12)*$B$1</f>
        <v>2</v>
      </c>
      <c r="K39">
        <f>IF(A39&lt;Hypothèses!$B$7,0,Hypothèses!$B$8*(1-Hypothèses!$B$9)^(A39-Hypothèses!$B$7))</f>
        <v>2.9074868501520069E-3</v>
      </c>
      <c r="L39">
        <f t="shared" si="1"/>
        <v>95</v>
      </c>
      <c r="M39">
        <f>(C39*Hypothèses!$B$11+D39*Hypothèses!$B$12+E39*Hypothèses!$B$13+F39*Hypothèses!$B$14)*(IF(B39=1,Hypothèses!$B$20,IF(B39=2,Hypothèses!$B$21,Hypothèses!$B$22))+(1-(IF(B39=1,Hypothèses!$B$20,IF(B39=2,Hypothèses!$B$21,Hypothèses!$B$22))))*11/12)</f>
        <v>14902.65</v>
      </c>
      <c r="N39">
        <f>L39*IF(B39=1,Hypothèses!$C$20,IF(B39=2,Hypothèses!$C$21,Hypothèses!$C$22))*IF(B39=1,Hypothèses!$D$20,IF(B39=2,Hypothèses!$D$21,Hypothèses!$D$22))</f>
        <v>342</v>
      </c>
      <c r="O39">
        <f>IF(A39=18,IF($B$2&gt;=1,Hypothèses!$B$33,0),IF(AND(OR(A39=30,A39=34),$D$2&gt;=1),Hypothèses!$B$34*MIN(1,$D$2/3),0))</f>
        <v>0</v>
      </c>
      <c r="P39">
        <f t="shared" si="2"/>
        <v>15244.65</v>
      </c>
      <c r="Q39">
        <f>P39/(1+Hypothèses!$B$6)</f>
        <v>12703.875</v>
      </c>
      <c r="R39">
        <f>Hypothèses!$B$3*(1+Hypothèses!$B$4)^INT((A39-1)/3)</f>
        <v>2326.195698032046</v>
      </c>
      <c r="S39">
        <f t="shared" si="3"/>
        <v>1</v>
      </c>
      <c r="T39">
        <f>S39*Hypothèses!$B$17</f>
        <v>4500</v>
      </c>
      <c r="U39">
        <f>Q39*Hypothèses!$B$5</f>
        <v>127.03875000000001</v>
      </c>
      <c r="V39">
        <f t="shared" si="4"/>
        <v>5750.6405519679538</v>
      </c>
      <c r="W39">
        <f t="shared" si="5"/>
        <v>48861.54707026291</v>
      </c>
    </row>
    <row r="41" spans="1:23" ht="15.75" x14ac:dyDescent="0.25">
      <c r="A41" s="2" t="s">
        <v>60</v>
      </c>
    </row>
    <row r="42" spans="1:23" x14ac:dyDescent="0.25">
      <c r="A42" t="s">
        <v>41</v>
      </c>
      <c r="B42" t="s">
        <v>53</v>
      </c>
      <c r="C42" t="s">
        <v>58</v>
      </c>
      <c r="D42" t="s">
        <v>61</v>
      </c>
      <c r="E42" t="s">
        <v>62</v>
      </c>
    </row>
    <row r="43" spans="1:23" x14ac:dyDescent="0.25">
      <c r="A43" t="s">
        <v>19</v>
      </c>
      <c r="B43">
        <f>SUMIF($B$4:$B$39,1,$Q$4:$Q$39)</f>
        <v>8197.0916666666672</v>
      </c>
      <c r="C43">
        <f>SUMIF($B$4:$B$39,1,$V$4:$V$39)</f>
        <v>625.05825000000164</v>
      </c>
      <c r="D43">
        <f>SUMIF($B$4:$B$39,1,$T$4:$T$39)</f>
        <v>0</v>
      </c>
      <c r="E43">
        <f>W15</f>
        <v>2725.0582500000014</v>
      </c>
    </row>
    <row r="44" spans="1:23" x14ac:dyDescent="0.25">
      <c r="A44" t="s">
        <v>20</v>
      </c>
      <c r="B44">
        <f>SUMIF($B$4:$B$39,2,$Q$4:$Q$39)</f>
        <v>55427.736111111117</v>
      </c>
      <c r="C44">
        <f>SUMIF($B$4:$B$39,2,$V$4:$V$39)</f>
        <v>-12226.707375390619</v>
      </c>
      <c r="D44">
        <f>SUMIF($B$4:$B$39,2,$T$4:$T$39)</f>
        <v>54000</v>
      </c>
      <c r="E44">
        <f>W27</f>
        <v>-9501.649125390617</v>
      </c>
    </row>
    <row r="45" spans="1:23" x14ac:dyDescent="0.25">
      <c r="A45" t="s">
        <v>21</v>
      </c>
      <c r="B45">
        <f>SUMIF($B$4:$B$39,3,$Q$4:$Q$39)</f>
        <v>136641.88750000001</v>
      </c>
      <c r="C45">
        <f>SUMIF($B$4:$B$39,3,$V$4:$V$39)</f>
        <v>58363.196195653531</v>
      </c>
      <c r="D45">
        <f>SUMIF($B$4:$B$39,3,$T$4:$T$39)</f>
        <v>54000</v>
      </c>
      <c r="E45">
        <f>W39</f>
        <v>48861.54707026291</v>
      </c>
    </row>
    <row r="47" spans="1:23" x14ac:dyDescent="0.25">
      <c r="A47" s="3" t="s">
        <v>63</v>
      </c>
    </row>
    <row r="48" spans="1:23" x14ac:dyDescent="0.25">
      <c r="A48" t="str">
        <f>ROUND(Hypothèses!$D$26*$B$1,0)&amp;" Atelier · "&amp;ROUND(Hypothèses!$D$27*$B$1,0)&amp;" Horizon · "&amp;ROUND(Hypothèses!$D$28*$B$1,0)&amp;" Enverg. · "&amp;ROUND(Hypothèses!$D$29*$B$1,0)&amp;" Rayonn."</f>
        <v>20 Atelier · 70 Horizon · 3 Enverg. · 2 Rayonn.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8"/>
  <sheetViews>
    <sheetView workbookViewId="0"/>
  </sheetViews>
  <sheetFormatPr baseColWidth="10" defaultColWidth="9.140625" defaultRowHeight="15" x14ac:dyDescent="0.25"/>
  <cols>
    <col min="1" max="23" width="15" customWidth="1"/>
  </cols>
  <sheetData>
    <row r="1" spans="1:23" x14ac:dyDescent="0.25">
      <c r="A1" t="s">
        <v>37</v>
      </c>
      <c r="B1">
        <v>1.3</v>
      </c>
    </row>
    <row r="2" spans="1:23" x14ac:dyDescent="0.25">
      <c r="A2" t="s">
        <v>38</v>
      </c>
      <c r="B2">
        <f>ROUND(Hypothèses!$C$30*$B$1,0)</f>
        <v>1</v>
      </c>
      <c r="C2" t="s">
        <v>39</v>
      </c>
      <c r="D2">
        <f>ROUND(Hypothèses!$D$30*$B$1,0)</f>
        <v>4</v>
      </c>
    </row>
    <row r="3" spans="1:23" ht="30" x14ac:dyDescent="0.25">
      <c r="A3" s="1" t="s">
        <v>40</v>
      </c>
      <c r="B3" s="1" t="s">
        <v>41</v>
      </c>
      <c r="C3" s="1" t="s">
        <v>27</v>
      </c>
      <c r="D3" s="1" t="s">
        <v>28</v>
      </c>
      <c r="E3" s="1" t="s">
        <v>42</v>
      </c>
      <c r="F3" s="1" t="s">
        <v>30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</row>
    <row r="4" spans="1:23" x14ac:dyDescent="0.25">
      <c r="A4">
        <v>1</v>
      </c>
      <c r="B4">
        <f t="shared" ref="B4:B39" si="0">INT((A4-1)/12)+1</f>
        <v>1</v>
      </c>
      <c r="C4">
        <f>ROUND(IF(MOD($A4,12)=0,G4,(IF(4=4,0,C3))*(1-$K4)+IF((IF(4=4,0,C3))*(1-$K4)&lt;G4,(G4-(IF(4=4,0,C3))*(1-$K4))*Hypothèses!$B$10,0)),1)</f>
        <v>0.2</v>
      </c>
      <c r="D4">
        <f>ROUND(IF(MOD($A4,12)=0,H4,(IF(4=4,0,D3))*(1-$K4)+IF((IF(4=4,0,D3))*(1-$K4)&lt;H4,(H4-(IF(4=4,0,D3))*(1-$K4))*Hypothèses!$B$10,0)),1)</f>
        <v>0.4</v>
      </c>
      <c r="E4">
        <f>ROUND(IF(MOD($A4,12)=0,I4,(IF(4=4,0,E3))*(1-$K4)+IF((IF(4=4,0,E3))*(1-$K4)&lt;I4,(I4-(IF(4=4,0,E3))*(1-$K4))*Hypothèses!$B$10,0)),1)</f>
        <v>0</v>
      </c>
      <c r="F4">
        <f>ROUND(IF(MOD($A4,12)=0,J4,(IF(4=4,0,F3))*(1-$K4)+IF((IF(4=4,0,F3))*(1-$K4)&lt;J4,(J4-(IF(4=4,0,F3))*(1-$K4))*Hypothèses!$B$10,0)),1)</f>
        <v>0</v>
      </c>
      <c r="G4">
        <f>(IF(B4=1,0,IF(B4=2,Hypothèses!$B$26,IF(B4=3,Hypothèses!$C$26,Hypothèses!$D$26)))+(IF(B4=1,Hypothèses!$B$26,IF(B4=2,Hypothèses!$C$26,IF(B4=3,Hypothèses!$D$26,Hypothèses!$D$26)))-(IF(B4=1,0,IF(B4=2,Hypothèses!$B$26,IF(B4=3,Hypothèses!$C$26,Hypothèses!$D$26)))))*((A4)-INT((A4-1)/12)*12)/12)*$B$1</f>
        <v>0.54166666666666674</v>
      </c>
      <c r="H4">
        <f>(IF(B4=1,0,IF(B4=2,Hypothèses!$B$27,IF(B4=3,Hypothèses!$C$27,Hypothèses!$D$27)))+(IF(B4=1,Hypothèses!$B$27,IF(B4=2,Hypothèses!$C$27,IF(B4=3,Hypothèses!$D$27,Hypothèses!$D$27)))-(IF(B4=1,0,IF(B4=2,Hypothèses!$B$27,IF(B4=3,Hypothèses!$C$27,Hypothèses!$D$27)))))*((A4)-INT((A4-1)/12)*12)/12)*$B$1</f>
        <v>1.0833333333333335</v>
      </c>
      <c r="I4">
        <f>(IF(B4=1,0,IF(B4=2,Hypothèses!$B$28,IF(B4=3,Hypothèses!$C$28,Hypothèses!$D$28)))+(IF(B4=1,Hypothèses!$B$28,IF(B4=2,Hypothèses!$C$28,IF(B4=3,Hypothèses!$D$28,Hypothèses!$D$28)))-(IF(B4=1,0,IF(B4=2,Hypothèses!$B$28,IF(B4=3,Hypothèses!$C$28,Hypothèses!$D$28)))))*((A4)-INT((A4-1)/12)*12)/12)*$B$1</f>
        <v>0</v>
      </c>
      <c r="J4">
        <f>(IF(B4=1,0,IF(B4=2,Hypothèses!$B$29,IF(B4=3,Hypothèses!$C$29,Hypothèses!$D$29)))+(IF(B4=1,Hypothèses!$B$29,IF(B4=2,Hypothèses!$C$29,IF(B4=3,Hypothèses!$D$29,Hypothèses!$D$29)))-(IF(B4=1,0,IF(B4=2,Hypothèses!$B$29,IF(B4=3,Hypothèses!$C$29,Hypothèses!$D$29)))))*((A4)-INT((A4-1)/12)*12)/12)*$B$1</f>
        <v>0</v>
      </c>
      <c r="K4">
        <f>IF(A4&lt;Hypothèses!$B$7,0,Hypothèses!$B$8*(1-Hypothèses!$B$9)^(A4-Hypothèses!$B$7))</f>
        <v>0</v>
      </c>
      <c r="L4">
        <f t="shared" ref="L4:L39" si="1">C4+D4+E4+F4</f>
        <v>0.60000000000000009</v>
      </c>
      <c r="M4">
        <f>(C4*Hypothèses!$B$11+D4*Hypothèses!$B$12+E4*Hypothèses!$B$13+F4*Hypothèses!$B$14)*(IF(B4=1,Hypothèses!$B$20,IF(B4=2,Hypothèses!$B$21,Hypothèses!$B$22))+(1-(IF(B4=1,Hypothèses!$B$20,IF(B4=2,Hypothèses!$B$21,Hypothèses!$B$22))))*11/12)</f>
        <v>74.820000000000007</v>
      </c>
      <c r="N4">
        <f>L4*IF(B4=1,Hypothèses!$C$20,IF(B4=2,Hypothèses!$C$21,Hypothèses!$C$22))*IF(B4=1,Hypothèses!$D$20,IF(B4=2,Hypothèses!$D$21,Hypothèses!$D$22))</f>
        <v>0.60000000000000009</v>
      </c>
      <c r="O4">
        <f>IF(A4=18,IF($B$2&gt;=1,Hypothèses!$B$33,0),IF(AND(OR(A4=30,A4=34),$D$2&gt;=1),Hypothèses!$B$34*MIN(1,$D$2/3),0))</f>
        <v>0</v>
      </c>
      <c r="P4">
        <f t="shared" ref="P4:P39" si="2">M4+N4+O4</f>
        <v>75.42</v>
      </c>
      <c r="Q4">
        <f>P4/(1+Hypothèses!$B$6)</f>
        <v>62.85</v>
      </c>
      <c r="R4">
        <f>Hypothèses!$B$3*(1+Hypothèses!$B$4)^INT((A4-1)/3)</f>
        <v>500</v>
      </c>
      <c r="S4">
        <f t="shared" ref="S4:S39" si="3">IF($A4&lt;7,2,IF($A4&lt;13,3,IF($A4&lt;19,4,5)))</f>
        <v>2</v>
      </c>
      <c r="T4">
        <f>S4*Hypothèses!$B$17</f>
        <v>9000</v>
      </c>
      <c r="U4">
        <f>Q4*Hypothèses!$B$5</f>
        <v>0.62850000000000006</v>
      </c>
      <c r="V4">
        <f t="shared" ref="V4:V39" si="4">Q4-R4-T4-U4</f>
        <v>-9437.7785000000003</v>
      </c>
      <c r="W4">
        <f>Hypothèses!$B$2+V4</f>
        <v>-7337.7785000000003</v>
      </c>
    </row>
    <row r="5" spans="1:23" x14ac:dyDescent="0.25">
      <c r="A5">
        <v>2</v>
      </c>
      <c r="B5">
        <f t="shared" si="0"/>
        <v>1</v>
      </c>
      <c r="C5">
        <f>ROUND(IF(MOD($A5,12)=0,G5,(IF(5=4,0,C4))*(1-$K5)+IF((IF(5=4,0,C4))*(1-$K5)&lt;G5,(G5-(IF(5=4,0,C4))*(1-$K5))*Hypothèses!$B$10,0)),1)</f>
        <v>0.6</v>
      </c>
      <c r="D5">
        <f>ROUND(IF(MOD($A5,12)=0,H5,(IF(5=4,0,D4))*(1-$K5)+IF((IF(5=4,0,D4))*(1-$K5)&lt;H5,(H5-(IF(5=4,0,D4))*(1-$K5))*Hypothèses!$B$10,0)),1)</f>
        <v>1.1000000000000001</v>
      </c>
      <c r="E5">
        <f>ROUND(IF(MOD($A5,12)=0,I5,(IF(5=4,0,E4))*(1-$K5)+IF((IF(5=4,0,E4))*(1-$K5)&lt;I5,(I5-(IF(5=4,0,E4))*(1-$K5))*Hypothèses!$B$10,0)),1)</f>
        <v>0</v>
      </c>
      <c r="F5">
        <f>ROUND(IF(MOD($A5,12)=0,J5,(IF(5=4,0,F4))*(1-$K5)+IF((IF(5=4,0,F4))*(1-$K5)&lt;J5,(J5-(IF(5=4,0,F4))*(1-$K5))*Hypothèses!$B$10,0)),1)</f>
        <v>0</v>
      </c>
      <c r="G5">
        <f>(IF(B5=1,0,IF(B5=2,Hypothèses!$B$26,IF(B5=3,Hypothèses!$C$26,Hypothèses!$D$26)))+(IF(B5=1,Hypothèses!$B$26,IF(B5=2,Hypothèses!$C$26,IF(B5=3,Hypothèses!$D$26,Hypothèses!$D$26)))-(IF(B5=1,0,IF(B5=2,Hypothèses!$B$26,IF(B5=3,Hypothèses!$C$26,Hypothèses!$D$26)))))*((A5)-INT((A5-1)/12)*12)/12)*$B$1</f>
        <v>1.0833333333333335</v>
      </c>
      <c r="H5">
        <f>(IF(B5=1,0,IF(B5=2,Hypothèses!$B$27,IF(B5=3,Hypothèses!$C$27,Hypothèses!$D$27)))+(IF(B5=1,Hypothèses!$B$27,IF(B5=2,Hypothèses!$C$27,IF(B5=3,Hypothèses!$D$27,Hypothèses!$D$27)))-(IF(B5=1,0,IF(B5=2,Hypothèses!$B$27,IF(B5=3,Hypothèses!$C$27,Hypothèses!$D$27)))))*((A5)-INT((A5-1)/12)*12)/12)*$B$1</f>
        <v>2.166666666666667</v>
      </c>
      <c r="I5">
        <f>(IF(B5=1,0,IF(B5=2,Hypothèses!$B$28,IF(B5=3,Hypothèses!$C$28,Hypothèses!$D$28)))+(IF(B5=1,Hypothèses!$B$28,IF(B5=2,Hypothèses!$C$28,IF(B5=3,Hypothèses!$D$28,Hypothèses!$D$28)))-(IF(B5=1,0,IF(B5=2,Hypothèses!$B$28,IF(B5=3,Hypothèses!$C$28,Hypothèses!$D$28)))))*((A5)-INT((A5-1)/12)*12)/12)*$B$1</f>
        <v>0</v>
      </c>
      <c r="J5">
        <f>(IF(B5=1,0,IF(B5=2,Hypothèses!$B$29,IF(B5=3,Hypothèses!$C$29,Hypothèses!$D$29)))+(IF(B5=1,Hypothèses!$B$29,IF(B5=2,Hypothèses!$C$29,IF(B5=3,Hypothèses!$D$29,Hypothèses!$D$29)))-(IF(B5=1,0,IF(B5=2,Hypothèses!$B$29,IF(B5=3,Hypothèses!$C$29,Hypothèses!$D$29)))))*((A5)-INT((A5-1)/12)*12)/12)*$B$1</f>
        <v>0</v>
      </c>
      <c r="K5">
        <f>IF(A5&lt;Hypothèses!$B$7,0,Hypothèses!$B$8*(1-Hypothèses!$B$9)^(A5-Hypothèses!$B$7))</f>
        <v>0</v>
      </c>
      <c r="L5">
        <f t="shared" si="1"/>
        <v>1.7000000000000002</v>
      </c>
      <c r="M5">
        <f>(C5*Hypothèses!$B$11+D5*Hypothèses!$B$12+E5*Hypothèses!$B$13+F5*Hypothèses!$B$14)*(IF(B5=1,Hypothèses!$B$20,IF(B5=2,Hypothèses!$B$21,Hypothèses!$B$22))+(1-(IF(B5=1,Hypothèses!$B$20,IF(B5=2,Hypothèses!$B$21,Hypothèses!$B$22))))*11/12)</f>
        <v>210.05666666666667</v>
      </c>
      <c r="N5">
        <f>L5*IF(B5=1,Hypothèses!$C$20,IF(B5=2,Hypothèses!$C$21,Hypothèses!$C$22))*IF(B5=1,Hypothèses!$D$20,IF(B5=2,Hypothèses!$D$21,Hypothèses!$D$22))</f>
        <v>1.7000000000000004</v>
      </c>
      <c r="O5">
        <f>IF(A5=18,IF($B$2&gt;=1,Hypothèses!$B$33,0),IF(AND(OR(A5=30,A5=34),$D$2&gt;=1),Hypothèses!$B$34*MIN(1,$D$2/3),0))</f>
        <v>0</v>
      </c>
      <c r="P5">
        <f t="shared" si="2"/>
        <v>211.75666666666666</v>
      </c>
      <c r="Q5">
        <f>P5/(1+Hypothèses!$B$6)</f>
        <v>176.4638888888889</v>
      </c>
      <c r="R5">
        <f>Hypothèses!$B$3*(1+Hypothèses!$B$4)^INT((A5-1)/3)</f>
        <v>500</v>
      </c>
      <c r="S5">
        <f t="shared" si="3"/>
        <v>2</v>
      </c>
      <c r="T5">
        <f>S5*Hypothèses!$B$17</f>
        <v>9000</v>
      </c>
      <c r="U5">
        <f>Q5*Hypothèses!$B$5</f>
        <v>1.7646388888888891</v>
      </c>
      <c r="V5">
        <f t="shared" si="4"/>
        <v>-9325.3007500000003</v>
      </c>
      <c r="W5">
        <f t="shared" ref="W5:W39" si="5">W4+V5</f>
        <v>-16663.079250000003</v>
      </c>
    </row>
    <row r="6" spans="1:23" x14ac:dyDescent="0.25">
      <c r="A6">
        <v>3</v>
      </c>
      <c r="B6">
        <f t="shared" si="0"/>
        <v>1</v>
      </c>
      <c r="C6">
        <f>ROUND(IF(MOD($A6,12)=0,G6,(IF(6=4,0,C5))*(1-$K6)+IF((IF(6=4,0,C5))*(1-$K6)&lt;G6,(G6-(IF(6=4,0,C5))*(1-$K6))*Hypothèses!$B$10,0)),1)</f>
        <v>1</v>
      </c>
      <c r="D6">
        <f>ROUND(IF(MOD($A6,12)=0,H6,(IF(6=4,0,D5))*(1-$K6)+IF((IF(6=4,0,D5))*(1-$K6)&lt;H6,(H6-(IF(6=4,0,D5))*(1-$K6))*Hypothèses!$B$10,0)),1)</f>
        <v>2</v>
      </c>
      <c r="E6">
        <f>ROUND(IF(MOD($A6,12)=0,I6,(IF(6=4,0,E5))*(1-$K6)+IF((IF(6=4,0,E5))*(1-$K6)&lt;I6,(I6-(IF(6=4,0,E5))*(1-$K6))*Hypothèses!$B$10,0)),1)</f>
        <v>0</v>
      </c>
      <c r="F6">
        <f>ROUND(IF(MOD($A6,12)=0,J6,(IF(6=4,0,F5))*(1-$K6)+IF((IF(6=4,0,F5))*(1-$K6)&lt;J6,(J6-(IF(6=4,0,F5))*(1-$K6))*Hypothèses!$B$10,0)),1)</f>
        <v>0</v>
      </c>
      <c r="G6">
        <f>(IF(B6=1,0,IF(B6=2,Hypothèses!$B$26,IF(B6=3,Hypothèses!$C$26,Hypothèses!$D$26)))+(IF(B6=1,Hypothèses!$B$26,IF(B6=2,Hypothèses!$C$26,IF(B6=3,Hypothèses!$D$26,Hypothèses!$D$26)))-(IF(B6=1,0,IF(B6=2,Hypothèses!$B$26,IF(B6=3,Hypothèses!$C$26,Hypothèses!$D$26)))))*((A6)-INT((A6-1)/12)*12)/12)*$B$1</f>
        <v>1.625</v>
      </c>
      <c r="H6">
        <f>(IF(B6=1,0,IF(B6=2,Hypothèses!$B$27,IF(B6=3,Hypothèses!$C$27,Hypothèses!$D$27)))+(IF(B6=1,Hypothèses!$B$27,IF(B6=2,Hypothèses!$C$27,IF(B6=3,Hypothèses!$D$27,Hypothèses!$D$27)))-(IF(B6=1,0,IF(B6=2,Hypothèses!$B$27,IF(B6=3,Hypothèses!$C$27,Hypothèses!$D$27)))))*((A6)-INT((A6-1)/12)*12)/12)*$B$1</f>
        <v>3.25</v>
      </c>
      <c r="I6">
        <f>(IF(B6=1,0,IF(B6=2,Hypothèses!$B$28,IF(B6=3,Hypothèses!$C$28,Hypothèses!$D$28)))+(IF(B6=1,Hypothèses!$B$28,IF(B6=2,Hypothèses!$C$28,IF(B6=3,Hypothèses!$D$28,Hypothèses!$D$28)))-(IF(B6=1,0,IF(B6=2,Hypothèses!$B$28,IF(B6=3,Hypothèses!$C$28,Hypothèses!$D$28)))))*((A6)-INT((A6-1)/12)*12)/12)*$B$1</f>
        <v>0</v>
      </c>
      <c r="J6">
        <f>(IF(B6=1,0,IF(B6=2,Hypothèses!$B$29,IF(B6=3,Hypothèses!$C$29,Hypothèses!$D$29)))+(IF(B6=1,Hypothèses!$B$29,IF(B6=2,Hypothèses!$C$29,IF(B6=3,Hypothèses!$D$29,Hypothèses!$D$29)))-(IF(B6=1,0,IF(B6=2,Hypothèses!$B$29,IF(B6=3,Hypothèses!$C$29,Hypothèses!$D$29)))))*((A6)-INT((A6-1)/12)*12)/12)*$B$1</f>
        <v>0</v>
      </c>
      <c r="K6">
        <f>IF(A6&lt;Hypothèses!$B$7,0,Hypothèses!$B$8*(1-Hypothèses!$B$9)^(A6-Hypothèses!$B$7))</f>
        <v>0</v>
      </c>
      <c r="L6">
        <f t="shared" si="1"/>
        <v>3</v>
      </c>
      <c r="M6">
        <f>(C6*Hypothèses!$B$11+D6*Hypothèses!$B$12+E6*Hypothèses!$B$13+F6*Hypothèses!$B$14)*(IF(B6=1,Hypothèses!$B$20,IF(B6=2,Hypothèses!$B$21,Hypothèses!$B$22))+(1-(IF(B6=1,Hypothèses!$B$20,IF(B6=2,Hypothèses!$B$21,Hypothèses!$B$22))))*11/12)</f>
        <v>374.1</v>
      </c>
      <c r="N6">
        <f>L6*IF(B6=1,Hypothèses!$C$20,IF(B6=2,Hypothèses!$C$21,Hypothèses!$C$22))*IF(B6=1,Hypothèses!$D$20,IF(B6=2,Hypothèses!$D$21,Hypothèses!$D$22))</f>
        <v>3.0000000000000004</v>
      </c>
      <c r="O6">
        <f>IF(A6=18,IF($B$2&gt;=1,Hypothèses!$B$33,0),IF(AND(OR(A6=30,A6=34),$D$2&gt;=1),Hypothèses!$B$34*MIN(1,$D$2/3),0))</f>
        <v>0</v>
      </c>
      <c r="P6">
        <f t="shared" si="2"/>
        <v>377.1</v>
      </c>
      <c r="Q6">
        <f>P6/(1+Hypothèses!$B$6)</f>
        <v>314.25000000000006</v>
      </c>
      <c r="R6">
        <f>Hypothèses!$B$3*(1+Hypothèses!$B$4)^INT((A6-1)/3)</f>
        <v>500</v>
      </c>
      <c r="S6">
        <f t="shared" si="3"/>
        <v>2</v>
      </c>
      <c r="T6">
        <f>S6*Hypothèses!$B$17</f>
        <v>9000</v>
      </c>
      <c r="U6">
        <f>Q6*Hypothèses!$B$5</f>
        <v>3.1425000000000005</v>
      </c>
      <c r="V6">
        <f t="shared" si="4"/>
        <v>-9188.8924999999999</v>
      </c>
      <c r="W6">
        <f t="shared" si="5"/>
        <v>-25851.971750000004</v>
      </c>
    </row>
    <row r="7" spans="1:23" x14ac:dyDescent="0.25">
      <c r="A7">
        <v>4</v>
      </c>
      <c r="B7">
        <f t="shared" si="0"/>
        <v>1</v>
      </c>
      <c r="C7">
        <f>ROUND(IF(MOD($A7,12)=0,G7,(IF(7=4,0,C6))*(1-$K7)+IF((IF(7=4,0,C6))*(1-$K7)&lt;G7,(G7-(IF(7=4,0,C6))*(1-$K7))*Hypothèses!$B$10,0)),1)</f>
        <v>1.5</v>
      </c>
      <c r="D7">
        <f>ROUND(IF(MOD($A7,12)=0,H7,(IF(7=4,0,D6))*(1-$K7)+IF((IF(7=4,0,D6))*(1-$K7)&lt;H7,(H7-(IF(7=4,0,D6))*(1-$K7))*Hypothèses!$B$10,0)),1)</f>
        <v>2.9</v>
      </c>
      <c r="E7">
        <f>ROUND(IF(MOD($A7,12)=0,I7,(IF(7=4,0,E6))*(1-$K7)+IF((IF(7=4,0,E6))*(1-$K7)&lt;I7,(I7-(IF(7=4,0,E6))*(1-$K7))*Hypothèses!$B$10,0)),1)</f>
        <v>0</v>
      </c>
      <c r="F7">
        <f>ROUND(IF(MOD($A7,12)=0,J7,(IF(7=4,0,F6))*(1-$K7)+IF((IF(7=4,0,F6))*(1-$K7)&lt;J7,(J7-(IF(7=4,0,F6))*(1-$K7))*Hypothèses!$B$10,0)),1)</f>
        <v>0</v>
      </c>
      <c r="G7">
        <f>(IF(B7=1,0,IF(B7=2,Hypothèses!$B$26,IF(B7=3,Hypothèses!$C$26,Hypothèses!$D$26)))+(IF(B7=1,Hypothèses!$B$26,IF(B7=2,Hypothèses!$C$26,IF(B7=3,Hypothèses!$D$26,Hypothèses!$D$26)))-(IF(B7=1,0,IF(B7=2,Hypothèses!$B$26,IF(B7=3,Hypothèses!$C$26,Hypothèses!$D$26)))))*((A7)-INT((A7-1)/12)*12)/12)*$B$1</f>
        <v>2.166666666666667</v>
      </c>
      <c r="H7">
        <f>(IF(B7=1,0,IF(B7=2,Hypothèses!$B$27,IF(B7=3,Hypothèses!$C$27,Hypothèses!$D$27)))+(IF(B7=1,Hypothèses!$B$27,IF(B7=2,Hypothèses!$C$27,IF(B7=3,Hypothèses!$D$27,Hypothèses!$D$27)))-(IF(B7=1,0,IF(B7=2,Hypothèses!$B$27,IF(B7=3,Hypothèses!$C$27,Hypothèses!$D$27)))))*((A7)-INT((A7-1)/12)*12)/12)*$B$1</f>
        <v>4.3333333333333339</v>
      </c>
      <c r="I7">
        <f>(IF(B7=1,0,IF(B7=2,Hypothèses!$B$28,IF(B7=3,Hypothèses!$C$28,Hypothèses!$D$28)))+(IF(B7=1,Hypothèses!$B$28,IF(B7=2,Hypothèses!$C$28,IF(B7=3,Hypothèses!$D$28,Hypothèses!$D$28)))-(IF(B7=1,0,IF(B7=2,Hypothèses!$B$28,IF(B7=3,Hypothèses!$C$28,Hypothèses!$D$28)))))*((A7)-INT((A7-1)/12)*12)/12)*$B$1</f>
        <v>0</v>
      </c>
      <c r="J7">
        <f>(IF(B7=1,0,IF(B7=2,Hypothèses!$B$29,IF(B7=3,Hypothèses!$C$29,Hypothèses!$D$29)))+(IF(B7=1,Hypothèses!$B$29,IF(B7=2,Hypothèses!$C$29,IF(B7=3,Hypothèses!$D$29,Hypothèses!$D$29)))-(IF(B7=1,0,IF(B7=2,Hypothèses!$B$29,IF(B7=3,Hypothèses!$C$29,Hypothèses!$D$29)))))*((A7)-INT((A7-1)/12)*12)/12)*$B$1</f>
        <v>0</v>
      </c>
      <c r="K7">
        <f>IF(A7&lt;Hypothèses!$B$7,0,Hypothèses!$B$8*(1-Hypothèses!$B$9)^(A7-Hypothèses!$B$7))</f>
        <v>0</v>
      </c>
      <c r="L7">
        <f t="shared" si="1"/>
        <v>4.4000000000000004</v>
      </c>
      <c r="M7">
        <f>(C7*Hypothèses!$B$11+D7*Hypothèses!$B$12+E7*Hypothèses!$B$13+F7*Hypothèses!$B$14)*(IF(B7=1,Hypothèses!$B$20,IF(B7=2,Hypothèses!$B$21,Hypothèses!$B$22))+(1-(IF(B7=1,Hypothèses!$B$20,IF(B7=2,Hypothèses!$B$21,Hypothèses!$B$22))))*11/12)</f>
        <v>546.74666666666656</v>
      </c>
      <c r="N7">
        <f>L7*IF(B7=1,Hypothèses!$C$20,IF(B7=2,Hypothèses!$C$21,Hypothèses!$C$22))*IF(B7=1,Hypothèses!$D$20,IF(B7=2,Hypothèses!$D$21,Hypothèses!$D$22))</f>
        <v>4.4000000000000004</v>
      </c>
      <c r="O7">
        <f>IF(A7=18,IF($B$2&gt;=1,Hypothèses!$B$33,0),IF(AND(OR(A7=30,A7=34),$D$2&gt;=1),Hypothèses!$B$34*MIN(1,$D$2/3),0))</f>
        <v>0</v>
      </c>
      <c r="P7">
        <f t="shared" si="2"/>
        <v>551.14666666666653</v>
      </c>
      <c r="Q7">
        <f>P7/(1+Hypothèses!$B$6)</f>
        <v>459.28888888888878</v>
      </c>
      <c r="R7">
        <f>Hypothèses!$B$3*(1+Hypothèses!$B$4)^INT((A7-1)/3)</f>
        <v>575</v>
      </c>
      <c r="S7">
        <f t="shared" si="3"/>
        <v>2</v>
      </c>
      <c r="T7">
        <f>S7*Hypothèses!$B$17</f>
        <v>9000</v>
      </c>
      <c r="U7">
        <f>Q7*Hypothèses!$B$5</f>
        <v>4.5928888888888881</v>
      </c>
      <c r="V7">
        <f t="shared" si="4"/>
        <v>-9120.3040000000001</v>
      </c>
      <c r="W7">
        <f t="shared" si="5"/>
        <v>-34972.275750000001</v>
      </c>
    </row>
    <row r="8" spans="1:23" x14ac:dyDescent="0.25">
      <c r="A8">
        <v>5</v>
      </c>
      <c r="B8">
        <f t="shared" si="0"/>
        <v>1</v>
      </c>
      <c r="C8">
        <f>ROUND(IF(MOD($A8,12)=0,G8,(IF(8=4,0,C7))*(1-$K8)+IF((IF(8=4,0,C7))*(1-$K8)&lt;G8,(G8-(IF(8=4,0,C7))*(1-$K8))*Hypothèses!$B$10,0)),1)</f>
        <v>2</v>
      </c>
      <c r="D8">
        <f>ROUND(IF(MOD($A8,12)=0,H8,(IF(8=4,0,D7))*(1-$K8)+IF((IF(8=4,0,D7))*(1-$K8)&lt;H8,(H8-(IF(8=4,0,D7))*(1-$K8))*Hypothèses!$B$10,0)),1)</f>
        <v>3.9</v>
      </c>
      <c r="E8">
        <f>ROUND(IF(MOD($A8,12)=0,I8,(IF(8=4,0,E7))*(1-$K8)+IF((IF(8=4,0,E7))*(1-$K8)&lt;I8,(I8-(IF(8=4,0,E7))*(1-$K8))*Hypothèses!$B$10,0)),1)</f>
        <v>0</v>
      </c>
      <c r="F8">
        <f>ROUND(IF(MOD($A8,12)=0,J8,(IF(8=4,0,F7))*(1-$K8)+IF((IF(8=4,0,F7))*(1-$K8)&lt;J8,(J8-(IF(8=4,0,F7))*(1-$K8))*Hypothèses!$B$10,0)),1)</f>
        <v>0</v>
      </c>
      <c r="G8">
        <f>(IF(B8=1,0,IF(B8=2,Hypothèses!$B$26,IF(B8=3,Hypothèses!$C$26,Hypothèses!$D$26)))+(IF(B8=1,Hypothèses!$B$26,IF(B8=2,Hypothèses!$C$26,IF(B8=3,Hypothèses!$D$26,Hypothèses!$D$26)))-(IF(B8=1,0,IF(B8=2,Hypothèses!$B$26,IF(B8=3,Hypothèses!$C$26,Hypothèses!$D$26)))))*((A8)-INT((A8-1)/12)*12)/12)*$B$1</f>
        <v>2.7083333333333335</v>
      </c>
      <c r="H8">
        <f>(IF(B8=1,0,IF(B8=2,Hypothèses!$B$27,IF(B8=3,Hypothèses!$C$27,Hypothèses!$D$27)))+(IF(B8=1,Hypothèses!$B$27,IF(B8=2,Hypothèses!$C$27,IF(B8=3,Hypothèses!$D$27,Hypothèses!$D$27)))-(IF(B8=1,0,IF(B8=2,Hypothèses!$B$27,IF(B8=3,Hypothèses!$C$27,Hypothèses!$D$27)))))*((A8)-INT((A8-1)/12)*12)/12)*$B$1</f>
        <v>5.416666666666667</v>
      </c>
      <c r="I8">
        <f>(IF(B8=1,0,IF(B8=2,Hypothèses!$B$28,IF(B8=3,Hypothèses!$C$28,Hypothèses!$D$28)))+(IF(B8=1,Hypothèses!$B$28,IF(B8=2,Hypothèses!$C$28,IF(B8=3,Hypothèses!$D$28,Hypothèses!$D$28)))-(IF(B8=1,0,IF(B8=2,Hypothèses!$B$28,IF(B8=3,Hypothèses!$C$28,Hypothèses!$D$28)))))*((A8)-INT((A8-1)/12)*12)/12)*$B$1</f>
        <v>0</v>
      </c>
      <c r="J8">
        <f>(IF(B8=1,0,IF(B8=2,Hypothèses!$B$29,IF(B8=3,Hypothèses!$C$29,Hypothèses!$D$29)))+(IF(B8=1,Hypothèses!$B$29,IF(B8=2,Hypothèses!$C$29,IF(B8=3,Hypothèses!$D$29,Hypothèses!$D$29)))-(IF(B8=1,0,IF(B8=2,Hypothèses!$B$29,IF(B8=3,Hypothèses!$C$29,Hypothèses!$D$29)))))*((A8)-INT((A8-1)/12)*12)/12)*$B$1</f>
        <v>0</v>
      </c>
      <c r="K8">
        <f>IF(A8&lt;Hypothèses!$B$7,0,Hypothèses!$B$8*(1-Hypothèses!$B$9)^(A8-Hypothèses!$B$7))</f>
        <v>0</v>
      </c>
      <c r="L8">
        <f t="shared" si="1"/>
        <v>5.9</v>
      </c>
      <c r="M8">
        <f>(C8*Hypothèses!$B$11+D8*Hypothèses!$B$12+E8*Hypothèses!$B$13+F8*Hypothèses!$B$14)*(IF(B8=1,Hypothèses!$B$20,IF(B8=2,Hypothèses!$B$21,Hypothèses!$B$22))+(1-(IF(B8=1,Hypothèses!$B$20,IF(B8=2,Hypothèses!$B$21,Hypothèses!$B$22))))*11/12)</f>
        <v>733.79666666666674</v>
      </c>
      <c r="N8">
        <f>L8*IF(B8=1,Hypothèses!$C$20,IF(B8=2,Hypothèses!$C$21,Hypothèses!$C$22))*IF(B8=1,Hypothèses!$D$20,IF(B8=2,Hypothèses!$D$21,Hypothèses!$D$22))</f>
        <v>5.9</v>
      </c>
      <c r="O8">
        <f>IF(A8=18,IF($B$2&gt;=1,Hypothèses!$B$33,0),IF(AND(OR(A8=30,A8=34),$D$2&gt;=1),Hypothèses!$B$34*MIN(1,$D$2/3),0))</f>
        <v>0</v>
      </c>
      <c r="P8">
        <f t="shared" si="2"/>
        <v>739.69666666666672</v>
      </c>
      <c r="Q8">
        <f>P8/(1+Hypothèses!$B$6)</f>
        <v>616.41388888888901</v>
      </c>
      <c r="R8">
        <f>Hypothèses!$B$3*(1+Hypothèses!$B$4)^INT((A8-1)/3)</f>
        <v>575</v>
      </c>
      <c r="S8">
        <f t="shared" si="3"/>
        <v>2</v>
      </c>
      <c r="T8">
        <f>S8*Hypothèses!$B$17</f>
        <v>9000</v>
      </c>
      <c r="U8">
        <f>Q8*Hypothèses!$B$5</f>
        <v>6.1641388888888899</v>
      </c>
      <c r="V8">
        <f t="shared" si="4"/>
        <v>-8964.750250000001</v>
      </c>
      <c r="W8">
        <f t="shared" si="5"/>
        <v>-43937.025999999998</v>
      </c>
    </row>
    <row r="9" spans="1:23" x14ac:dyDescent="0.25">
      <c r="A9">
        <v>6</v>
      </c>
      <c r="B9">
        <f t="shared" si="0"/>
        <v>1</v>
      </c>
      <c r="C9">
        <f>ROUND(IF(MOD($A9,12)=0,G9,(IF(9=4,0,C8))*(1-$K9)+IF((IF(9=4,0,C8))*(1-$K9)&lt;G9,(G9-(IF(9=4,0,C8))*(1-$K9))*Hypothèses!$B$10,0)),1)</f>
        <v>2.5</v>
      </c>
      <c r="D9">
        <f>ROUND(IF(MOD($A9,12)=0,H9,(IF(9=4,0,D8))*(1-$K9)+IF((IF(9=4,0,D8))*(1-$K9)&lt;H9,(H9-(IF(9=4,0,D8))*(1-$K9))*Hypothèses!$B$10,0)),1)</f>
        <v>4.9000000000000004</v>
      </c>
      <c r="E9">
        <f>ROUND(IF(MOD($A9,12)=0,I9,(IF(9=4,0,E8))*(1-$K9)+IF((IF(9=4,0,E8))*(1-$K9)&lt;I9,(I9-(IF(9=4,0,E8))*(1-$K9))*Hypothèses!$B$10,0)),1)</f>
        <v>0</v>
      </c>
      <c r="F9">
        <f>ROUND(IF(MOD($A9,12)=0,J9,(IF(9=4,0,F8))*(1-$K9)+IF((IF(9=4,0,F8))*(1-$K9)&lt;J9,(J9-(IF(9=4,0,F8))*(1-$K9))*Hypothèses!$B$10,0)),1)</f>
        <v>0</v>
      </c>
      <c r="G9">
        <f>(IF(B9=1,0,IF(B9=2,Hypothèses!$B$26,IF(B9=3,Hypothèses!$C$26,Hypothèses!$D$26)))+(IF(B9=1,Hypothèses!$B$26,IF(B9=2,Hypothèses!$C$26,IF(B9=3,Hypothèses!$D$26,Hypothèses!$D$26)))-(IF(B9=1,0,IF(B9=2,Hypothèses!$B$26,IF(B9=3,Hypothèses!$C$26,Hypothèses!$D$26)))))*((A9)-INT((A9-1)/12)*12)/12)*$B$1</f>
        <v>3.25</v>
      </c>
      <c r="H9">
        <f>(IF(B9=1,0,IF(B9=2,Hypothèses!$B$27,IF(B9=3,Hypothèses!$C$27,Hypothèses!$D$27)))+(IF(B9=1,Hypothèses!$B$27,IF(B9=2,Hypothèses!$C$27,IF(B9=3,Hypothèses!$D$27,Hypothèses!$D$27)))-(IF(B9=1,0,IF(B9=2,Hypothèses!$B$27,IF(B9=3,Hypothèses!$C$27,Hypothèses!$D$27)))))*((A9)-INT((A9-1)/12)*12)/12)*$B$1</f>
        <v>6.5</v>
      </c>
      <c r="I9">
        <f>(IF(B9=1,0,IF(B9=2,Hypothèses!$B$28,IF(B9=3,Hypothèses!$C$28,Hypothèses!$D$28)))+(IF(B9=1,Hypothèses!$B$28,IF(B9=2,Hypothèses!$C$28,IF(B9=3,Hypothèses!$D$28,Hypothèses!$D$28)))-(IF(B9=1,0,IF(B9=2,Hypothèses!$B$28,IF(B9=3,Hypothèses!$C$28,Hypothèses!$D$28)))))*((A9)-INT((A9-1)/12)*12)/12)*$B$1</f>
        <v>0</v>
      </c>
      <c r="J9">
        <f>(IF(B9=1,0,IF(B9=2,Hypothèses!$B$29,IF(B9=3,Hypothèses!$C$29,Hypothèses!$D$29)))+(IF(B9=1,Hypothèses!$B$29,IF(B9=2,Hypothèses!$C$29,IF(B9=3,Hypothèses!$D$29,Hypothèses!$D$29)))-(IF(B9=1,0,IF(B9=2,Hypothèses!$B$29,IF(B9=3,Hypothèses!$C$29,Hypothèses!$D$29)))))*((A9)-INT((A9-1)/12)*12)/12)*$B$1</f>
        <v>0</v>
      </c>
      <c r="K9">
        <f>IF(A9&lt;Hypothèses!$B$7,0,Hypothèses!$B$8*(1-Hypothèses!$B$9)^(A9-Hypothèses!$B$7))</f>
        <v>0</v>
      </c>
      <c r="L9">
        <f t="shared" si="1"/>
        <v>7.4</v>
      </c>
      <c r="M9">
        <f>(C9*Hypothèses!$B$11+D9*Hypothèses!$B$12+E9*Hypothèses!$B$13+F9*Hypothèses!$B$14)*(IF(B9=1,Hypothèses!$B$20,IF(B9=2,Hypothèses!$B$21,Hypothèses!$B$22))+(1-(IF(B9=1,Hypothèses!$B$20,IF(B9=2,Hypothèses!$B$21,Hypothèses!$B$22))))*11/12)</f>
        <v>920.84666666666669</v>
      </c>
      <c r="N9">
        <f>L9*IF(B9=1,Hypothèses!$C$20,IF(B9=2,Hypothèses!$C$21,Hypothèses!$C$22))*IF(B9=1,Hypothèses!$D$20,IF(B9=2,Hypothèses!$D$21,Hypothèses!$D$22))</f>
        <v>7.4000000000000012</v>
      </c>
      <c r="O9">
        <f>IF(A9=18,IF($B$2&gt;=1,Hypothèses!$B$33,0),IF(AND(OR(A9=30,A9=34),$D$2&gt;=1),Hypothèses!$B$34*MIN(1,$D$2/3),0))</f>
        <v>0</v>
      </c>
      <c r="P9">
        <f t="shared" si="2"/>
        <v>928.24666666666667</v>
      </c>
      <c r="Q9">
        <f>P9/(1+Hypothèses!$B$6)</f>
        <v>773.53888888888889</v>
      </c>
      <c r="R9">
        <f>Hypothèses!$B$3*(1+Hypothèses!$B$4)^INT((A9-1)/3)</f>
        <v>575</v>
      </c>
      <c r="S9">
        <f t="shared" si="3"/>
        <v>2</v>
      </c>
      <c r="T9">
        <f>S9*Hypothèses!$B$17</f>
        <v>9000</v>
      </c>
      <c r="U9">
        <f>Q9*Hypothèses!$B$5</f>
        <v>7.7353888888888891</v>
      </c>
      <c r="V9">
        <f t="shared" si="4"/>
        <v>-8809.1965</v>
      </c>
      <c r="W9">
        <f t="shared" si="5"/>
        <v>-52746.222499999996</v>
      </c>
    </row>
    <row r="10" spans="1:23" x14ac:dyDescent="0.25">
      <c r="A10">
        <v>7</v>
      </c>
      <c r="B10">
        <f t="shared" si="0"/>
        <v>1</v>
      </c>
      <c r="C10">
        <f>ROUND(IF(MOD($A10,12)=0,G10,(IF(10=4,0,C9))*(1-$K10)+IF((IF(10=4,0,C9))*(1-$K10)&lt;G10,(G10-(IF(10=4,0,C9))*(1-$K10))*Hypothèses!$B$10,0)),1)</f>
        <v>3</v>
      </c>
      <c r="D10">
        <f>ROUND(IF(MOD($A10,12)=0,H10,(IF(10=4,0,D9))*(1-$K10)+IF((IF(10=4,0,D9))*(1-$K10)&lt;H10,(H10-(IF(10=4,0,D9))*(1-$K10))*Hypothèses!$B$10,0)),1)</f>
        <v>6</v>
      </c>
      <c r="E10">
        <f>ROUND(IF(MOD($A10,12)=0,I10,(IF(10=4,0,E9))*(1-$K10)+IF((IF(10=4,0,E9))*(1-$K10)&lt;I10,(I10-(IF(10=4,0,E9))*(1-$K10))*Hypothèses!$B$10,0)),1)</f>
        <v>0</v>
      </c>
      <c r="F10">
        <f>ROUND(IF(MOD($A10,12)=0,J10,(IF(10=4,0,F9))*(1-$K10)+IF((IF(10=4,0,F9))*(1-$K10)&lt;J10,(J10-(IF(10=4,0,F9))*(1-$K10))*Hypothèses!$B$10,0)),1)</f>
        <v>0</v>
      </c>
      <c r="G10">
        <f>(IF(B10=1,0,IF(B10=2,Hypothèses!$B$26,IF(B10=3,Hypothèses!$C$26,Hypothèses!$D$26)))+(IF(B10=1,Hypothèses!$B$26,IF(B10=2,Hypothèses!$C$26,IF(B10=3,Hypothèses!$D$26,Hypothèses!$D$26)))-(IF(B10=1,0,IF(B10=2,Hypothèses!$B$26,IF(B10=3,Hypothèses!$C$26,Hypothèses!$D$26)))))*((A10)-INT((A10-1)/12)*12)/12)*$B$1</f>
        <v>3.7916666666666665</v>
      </c>
      <c r="H10">
        <f>(IF(B10=1,0,IF(B10=2,Hypothèses!$B$27,IF(B10=3,Hypothèses!$C$27,Hypothèses!$D$27)))+(IF(B10=1,Hypothèses!$B$27,IF(B10=2,Hypothèses!$C$27,IF(B10=3,Hypothèses!$D$27,Hypothèses!$D$27)))-(IF(B10=1,0,IF(B10=2,Hypothèses!$B$27,IF(B10=3,Hypothèses!$C$27,Hypothèses!$D$27)))))*((A10)-INT((A10-1)/12)*12)/12)*$B$1</f>
        <v>7.583333333333333</v>
      </c>
      <c r="I10">
        <f>(IF(B10=1,0,IF(B10=2,Hypothèses!$B$28,IF(B10=3,Hypothèses!$C$28,Hypothèses!$D$28)))+(IF(B10=1,Hypothèses!$B$28,IF(B10=2,Hypothèses!$C$28,IF(B10=3,Hypothèses!$D$28,Hypothèses!$D$28)))-(IF(B10=1,0,IF(B10=2,Hypothèses!$B$28,IF(B10=3,Hypothèses!$C$28,Hypothèses!$D$28)))))*((A10)-INT((A10-1)/12)*12)/12)*$B$1</f>
        <v>0</v>
      </c>
      <c r="J10">
        <f>(IF(B10=1,0,IF(B10=2,Hypothèses!$B$29,IF(B10=3,Hypothèses!$C$29,Hypothèses!$D$29)))+(IF(B10=1,Hypothèses!$B$29,IF(B10=2,Hypothèses!$C$29,IF(B10=3,Hypothèses!$D$29,Hypothèses!$D$29)))-(IF(B10=1,0,IF(B10=2,Hypothèses!$B$29,IF(B10=3,Hypothèses!$C$29,Hypothèses!$D$29)))))*((A10)-INT((A10-1)/12)*12)/12)*$B$1</f>
        <v>0</v>
      </c>
      <c r="K10">
        <f>IF(A10&lt;Hypothèses!$B$7,0,Hypothèses!$B$8*(1-Hypothèses!$B$9)^(A10-Hypothèses!$B$7))</f>
        <v>0</v>
      </c>
      <c r="L10">
        <f t="shared" si="1"/>
        <v>9</v>
      </c>
      <c r="M10">
        <f>(C10*Hypothèses!$B$11+D10*Hypothèses!$B$12+E10*Hypothèses!$B$13+F10*Hypothèses!$B$14)*(IF(B10=1,Hypothèses!$B$20,IF(B10=2,Hypothèses!$B$21,Hypothèses!$B$22))+(1-(IF(B10=1,Hypothèses!$B$20,IF(B10=2,Hypothèses!$B$21,Hypothèses!$B$22))))*11/12)</f>
        <v>1122.3</v>
      </c>
      <c r="N10">
        <f>L10*IF(B10=1,Hypothèses!$C$20,IF(B10=2,Hypothèses!$C$21,Hypothèses!$C$22))*IF(B10=1,Hypothèses!$D$20,IF(B10=2,Hypothèses!$D$21,Hypothèses!$D$22))</f>
        <v>9</v>
      </c>
      <c r="O10">
        <f>IF(A10=18,IF($B$2&gt;=1,Hypothèses!$B$33,0),IF(AND(OR(A10=30,A10=34),$D$2&gt;=1),Hypothèses!$B$34*MIN(1,$D$2/3),0))</f>
        <v>0</v>
      </c>
      <c r="P10">
        <f t="shared" si="2"/>
        <v>1131.3</v>
      </c>
      <c r="Q10">
        <f>P10/(1+Hypothèses!$B$6)</f>
        <v>942.75</v>
      </c>
      <c r="R10">
        <f>Hypothèses!$B$3*(1+Hypothèses!$B$4)^INT((A10-1)/3)</f>
        <v>661.24999999999989</v>
      </c>
      <c r="S10">
        <f t="shared" si="3"/>
        <v>3</v>
      </c>
      <c r="T10">
        <f>S10*Hypothèses!$B$17</f>
        <v>13500</v>
      </c>
      <c r="U10">
        <f>Q10*Hypothèses!$B$5</f>
        <v>9.4275000000000002</v>
      </c>
      <c r="V10">
        <f t="shared" si="4"/>
        <v>-13227.9275</v>
      </c>
      <c r="W10">
        <f t="shared" si="5"/>
        <v>-65974.149999999994</v>
      </c>
    </row>
    <row r="11" spans="1:23" x14ac:dyDescent="0.25">
      <c r="A11">
        <v>8</v>
      </c>
      <c r="B11">
        <f t="shared" si="0"/>
        <v>1</v>
      </c>
      <c r="C11">
        <f>ROUND(IF(MOD($A11,12)=0,G11,(IF(11=4,0,C10))*(1-$K11)+IF((IF(11=4,0,C10))*(1-$K11)&lt;G11,(G11-(IF(11=4,0,C10))*(1-$K11))*Hypothèses!$B$10,0)),1)</f>
        <v>3.5</v>
      </c>
      <c r="D11">
        <f>ROUND(IF(MOD($A11,12)=0,H11,(IF(11=4,0,D10))*(1-$K11)+IF((IF(11=4,0,D10))*(1-$K11)&lt;H11,(H11-(IF(11=4,0,D10))*(1-$K11))*Hypothèses!$B$10,0)),1)</f>
        <v>7.1</v>
      </c>
      <c r="E11">
        <f>ROUND(IF(MOD($A11,12)=0,I11,(IF(11=4,0,E10))*(1-$K11)+IF((IF(11=4,0,E10))*(1-$K11)&lt;I11,(I11-(IF(11=4,0,E10))*(1-$K11))*Hypothèses!$B$10,0)),1)</f>
        <v>0</v>
      </c>
      <c r="F11">
        <f>ROUND(IF(MOD($A11,12)=0,J11,(IF(11=4,0,F10))*(1-$K11)+IF((IF(11=4,0,F10))*(1-$K11)&lt;J11,(J11-(IF(11=4,0,F10))*(1-$K11))*Hypothèses!$B$10,0)),1)</f>
        <v>0</v>
      </c>
      <c r="G11">
        <f>(IF(B11=1,0,IF(B11=2,Hypothèses!$B$26,IF(B11=3,Hypothèses!$C$26,Hypothèses!$D$26)))+(IF(B11=1,Hypothèses!$B$26,IF(B11=2,Hypothèses!$C$26,IF(B11=3,Hypothèses!$D$26,Hypothèses!$D$26)))-(IF(B11=1,0,IF(B11=2,Hypothèses!$B$26,IF(B11=3,Hypothèses!$C$26,Hypothèses!$D$26)))))*((A11)-INT((A11-1)/12)*12)/12)*$B$1</f>
        <v>4.3333333333333339</v>
      </c>
      <c r="H11">
        <f>(IF(B11=1,0,IF(B11=2,Hypothèses!$B$27,IF(B11=3,Hypothèses!$C$27,Hypothèses!$D$27)))+(IF(B11=1,Hypothèses!$B$27,IF(B11=2,Hypothèses!$C$27,IF(B11=3,Hypothèses!$D$27,Hypothèses!$D$27)))-(IF(B11=1,0,IF(B11=2,Hypothèses!$B$27,IF(B11=3,Hypothèses!$C$27,Hypothèses!$D$27)))))*((A11)-INT((A11-1)/12)*12)/12)*$B$1</f>
        <v>8.6666666666666679</v>
      </c>
      <c r="I11">
        <f>(IF(B11=1,0,IF(B11=2,Hypothèses!$B$28,IF(B11=3,Hypothèses!$C$28,Hypothèses!$D$28)))+(IF(B11=1,Hypothèses!$B$28,IF(B11=2,Hypothèses!$C$28,IF(B11=3,Hypothèses!$D$28,Hypothèses!$D$28)))-(IF(B11=1,0,IF(B11=2,Hypothèses!$B$28,IF(B11=3,Hypothèses!$C$28,Hypothèses!$D$28)))))*((A11)-INT((A11-1)/12)*12)/12)*$B$1</f>
        <v>0</v>
      </c>
      <c r="J11">
        <f>(IF(B11=1,0,IF(B11=2,Hypothèses!$B$29,IF(B11=3,Hypothèses!$C$29,Hypothèses!$D$29)))+(IF(B11=1,Hypothèses!$B$29,IF(B11=2,Hypothèses!$C$29,IF(B11=3,Hypothèses!$D$29,Hypothèses!$D$29)))-(IF(B11=1,0,IF(B11=2,Hypothèses!$B$29,IF(B11=3,Hypothèses!$C$29,Hypothèses!$D$29)))))*((A11)-INT((A11-1)/12)*12)/12)*$B$1</f>
        <v>0</v>
      </c>
      <c r="K11">
        <f>IF(A11&lt;Hypothèses!$B$7,0,Hypothèses!$B$8*(1-Hypothèses!$B$9)^(A11-Hypothèses!$B$7))</f>
        <v>0</v>
      </c>
      <c r="L11">
        <f t="shared" si="1"/>
        <v>10.6</v>
      </c>
      <c r="M11">
        <f>(C11*Hypothèses!$B$11+D11*Hypothèses!$B$12+E11*Hypothèses!$B$13+F11*Hypothèses!$B$14)*(IF(B11=1,Hypothèses!$B$20,IF(B11=2,Hypothèses!$B$21,Hypothèses!$B$22))+(1-(IF(B11=1,Hypothèses!$B$20,IF(B11=2,Hypothèses!$B$21,Hypothèses!$B$22))))*11/12)</f>
        <v>1323.7533333333331</v>
      </c>
      <c r="N11">
        <f>L11*IF(B11=1,Hypothèses!$C$20,IF(B11=2,Hypothèses!$C$21,Hypothèses!$C$22))*IF(B11=1,Hypothèses!$D$20,IF(B11=2,Hypothèses!$D$21,Hypothèses!$D$22))</f>
        <v>10.600000000000001</v>
      </c>
      <c r="O11">
        <f>IF(A11=18,IF($B$2&gt;=1,Hypothèses!$B$33,0),IF(AND(OR(A11=30,A11=34),$D$2&gt;=1),Hypothèses!$B$34*MIN(1,$D$2/3),0))</f>
        <v>0</v>
      </c>
      <c r="P11">
        <f t="shared" si="2"/>
        <v>1334.353333333333</v>
      </c>
      <c r="Q11">
        <f>P11/(1+Hypothèses!$B$6)</f>
        <v>1111.961111111111</v>
      </c>
      <c r="R11">
        <f>Hypothèses!$B$3*(1+Hypothèses!$B$4)^INT((A11-1)/3)</f>
        <v>661.24999999999989</v>
      </c>
      <c r="S11">
        <f t="shared" si="3"/>
        <v>3</v>
      </c>
      <c r="T11">
        <f>S11*Hypothèses!$B$17</f>
        <v>13500</v>
      </c>
      <c r="U11">
        <f>Q11*Hypothèses!$B$5</f>
        <v>11.11961111111111</v>
      </c>
      <c r="V11">
        <f t="shared" si="4"/>
        <v>-13060.4085</v>
      </c>
      <c r="W11">
        <f t="shared" si="5"/>
        <v>-79034.558499999999</v>
      </c>
    </row>
    <row r="12" spans="1:23" x14ac:dyDescent="0.25">
      <c r="A12">
        <v>9</v>
      </c>
      <c r="B12">
        <f t="shared" si="0"/>
        <v>1</v>
      </c>
      <c r="C12">
        <f>ROUND(IF(MOD($A12,12)=0,G12,(IF(12=4,0,C11))*(1-$K12)+IF((IF(12=4,0,C11))*(1-$K12)&lt;G12,(G12-(IF(12=4,0,C11))*(1-$K12))*Hypothèses!$B$10,0)),1)</f>
        <v>3.9</v>
      </c>
      <c r="D12">
        <f>ROUND(IF(MOD($A12,12)=0,H12,(IF(12=4,0,D11))*(1-$K12)+IF((IF(12=4,0,D11))*(1-$K12)&lt;H12,(H12-(IF(12=4,0,D11))*(1-$K12))*Hypothèses!$B$10,0)),1)</f>
        <v>7.9</v>
      </c>
      <c r="E12">
        <f>ROUND(IF(MOD($A12,12)=0,I12,(IF(12=4,0,E11))*(1-$K12)+IF((IF(12=4,0,E11))*(1-$K12)&lt;I12,(I12-(IF(12=4,0,E11))*(1-$K12))*Hypothèses!$B$10,0)),1)</f>
        <v>0</v>
      </c>
      <c r="F12">
        <f>ROUND(IF(MOD($A12,12)=0,J12,(IF(12=4,0,F11))*(1-$K12)+IF((IF(12=4,0,F11))*(1-$K12)&lt;J12,(J12-(IF(12=4,0,F11))*(1-$K12))*Hypothèses!$B$10,0)),1)</f>
        <v>0</v>
      </c>
      <c r="G12">
        <f>(IF(B12=1,0,IF(B12=2,Hypothèses!$B$26,IF(B12=3,Hypothèses!$C$26,Hypothèses!$D$26)))+(IF(B12=1,Hypothèses!$B$26,IF(B12=2,Hypothèses!$C$26,IF(B12=3,Hypothèses!$D$26,Hypothèses!$D$26)))-(IF(B12=1,0,IF(B12=2,Hypothèses!$B$26,IF(B12=3,Hypothèses!$C$26,Hypothèses!$D$26)))))*((A12)-INT((A12-1)/12)*12)/12)*$B$1</f>
        <v>4.875</v>
      </c>
      <c r="H12">
        <f>(IF(B12=1,0,IF(B12=2,Hypothèses!$B$27,IF(B12=3,Hypothèses!$C$27,Hypothèses!$D$27)))+(IF(B12=1,Hypothèses!$B$27,IF(B12=2,Hypothèses!$C$27,IF(B12=3,Hypothèses!$D$27,Hypothèses!$D$27)))-(IF(B12=1,0,IF(B12=2,Hypothèses!$B$27,IF(B12=3,Hypothèses!$C$27,Hypothèses!$D$27)))))*((A12)-INT((A12-1)/12)*12)/12)*$B$1</f>
        <v>9.75</v>
      </c>
      <c r="I12">
        <f>(IF(B12=1,0,IF(B12=2,Hypothèses!$B$28,IF(B12=3,Hypothèses!$C$28,Hypothèses!$D$28)))+(IF(B12=1,Hypothèses!$B$28,IF(B12=2,Hypothèses!$C$28,IF(B12=3,Hypothèses!$D$28,Hypothèses!$D$28)))-(IF(B12=1,0,IF(B12=2,Hypothèses!$B$28,IF(B12=3,Hypothèses!$C$28,Hypothèses!$D$28)))))*((A12)-INT((A12-1)/12)*12)/12)*$B$1</f>
        <v>0</v>
      </c>
      <c r="J12">
        <f>(IF(B12=1,0,IF(B12=2,Hypothèses!$B$29,IF(B12=3,Hypothèses!$C$29,Hypothèses!$D$29)))+(IF(B12=1,Hypothèses!$B$29,IF(B12=2,Hypothèses!$C$29,IF(B12=3,Hypothèses!$D$29,Hypothèses!$D$29)))-(IF(B12=1,0,IF(B12=2,Hypothèses!$B$29,IF(B12=3,Hypothèses!$C$29,Hypothèses!$D$29)))))*((A12)-INT((A12-1)/12)*12)/12)*$B$1</f>
        <v>0</v>
      </c>
      <c r="K12">
        <f>IF(A12&lt;Hypothèses!$B$7,0,Hypothèses!$B$8*(1-Hypothèses!$B$9)^(A12-Hypothèses!$B$7))</f>
        <v>0.05</v>
      </c>
      <c r="L12">
        <f t="shared" si="1"/>
        <v>11.8</v>
      </c>
      <c r="M12">
        <f>(C12*Hypothèses!$B$11+D12*Hypothèses!$B$12+E12*Hypothèses!$B$13+F12*Hypothèses!$B$14)*(IF(B12=1,Hypothèses!$B$20,IF(B12=2,Hypothèses!$B$21,Hypothèses!$B$22))+(1-(IF(B12=1,Hypothèses!$B$20,IF(B12=2,Hypothèses!$B$21,Hypothèses!$B$22))))*11/12)</f>
        <v>1473.3933333333334</v>
      </c>
      <c r="N12">
        <f>L12*IF(B12=1,Hypothèses!$C$20,IF(B12=2,Hypothèses!$C$21,Hypothèses!$C$22))*IF(B12=1,Hypothèses!$D$20,IF(B12=2,Hypothèses!$D$21,Hypothèses!$D$22))</f>
        <v>11.8</v>
      </c>
      <c r="O12">
        <f>IF(A12=18,IF($B$2&gt;=1,Hypothèses!$B$33,0),IF(AND(OR(A12=30,A12=34),$D$2&gt;=1),Hypothèses!$B$34*MIN(1,$D$2/3),0))</f>
        <v>0</v>
      </c>
      <c r="P12">
        <f t="shared" si="2"/>
        <v>1485.1933333333334</v>
      </c>
      <c r="Q12">
        <f>P12/(1+Hypothèses!$B$6)</f>
        <v>1237.6611111111113</v>
      </c>
      <c r="R12">
        <f>Hypothèses!$B$3*(1+Hypothèses!$B$4)^INT((A12-1)/3)</f>
        <v>661.24999999999989</v>
      </c>
      <c r="S12">
        <f t="shared" si="3"/>
        <v>3</v>
      </c>
      <c r="T12">
        <f>S12*Hypothèses!$B$17</f>
        <v>13500</v>
      </c>
      <c r="U12">
        <f>Q12*Hypothèses!$B$5</f>
        <v>12.376611111111114</v>
      </c>
      <c r="V12">
        <f t="shared" si="4"/>
        <v>-12935.9655</v>
      </c>
      <c r="W12">
        <f t="shared" si="5"/>
        <v>-91970.524000000005</v>
      </c>
    </row>
    <row r="13" spans="1:23" x14ac:dyDescent="0.25">
      <c r="A13">
        <v>10</v>
      </c>
      <c r="B13">
        <f t="shared" si="0"/>
        <v>1</v>
      </c>
      <c r="C13">
        <f>ROUND(IF(MOD($A13,12)=0,G13,(IF(13=4,0,C12))*(1-$K13)+IF((IF(13=4,0,C12))*(1-$K13)&lt;G13,(G13-(IF(13=4,0,C12))*(1-$K13))*Hypothèses!$B$10,0)),1)</f>
        <v>4.4000000000000004</v>
      </c>
      <c r="D13">
        <f>ROUND(IF(MOD($A13,12)=0,H13,(IF(13=4,0,D12))*(1-$K13)+IF((IF(13=4,0,D12))*(1-$K13)&lt;H13,(H13-(IF(13=4,0,D12))*(1-$K13))*Hypothèses!$B$10,0)),1)</f>
        <v>8.9</v>
      </c>
      <c r="E13">
        <f>ROUND(IF(MOD($A13,12)=0,I13,(IF(13=4,0,E12))*(1-$K13)+IF((IF(13=4,0,E12))*(1-$K13)&lt;I13,(I13-(IF(13=4,0,E12))*(1-$K13))*Hypothèses!$B$10,0)),1)</f>
        <v>0</v>
      </c>
      <c r="F13">
        <f>ROUND(IF(MOD($A13,12)=0,J13,(IF(13=4,0,F12))*(1-$K13)+IF((IF(13=4,0,F12))*(1-$K13)&lt;J13,(J13-(IF(13=4,0,F12))*(1-$K13))*Hypothèses!$B$10,0)),1)</f>
        <v>0</v>
      </c>
      <c r="G13">
        <f>(IF(B13=1,0,IF(B13=2,Hypothèses!$B$26,IF(B13=3,Hypothèses!$C$26,Hypothèses!$D$26)))+(IF(B13=1,Hypothèses!$B$26,IF(B13=2,Hypothèses!$C$26,IF(B13=3,Hypothèses!$D$26,Hypothèses!$D$26)))-(IF(B13=1,0,IF(B13=2,Hypothèses!$B$26,IF(B13=3,Hypothèses!$C$26,Hypothèses!$D$26)))))*((A13)-INT((A13-1)/12)*12)/12)*$B$1</f>
        <v>5.416666666666667</v>
      </c>
      <c r="H13">
        <f>(IF(B13=1,0,IF(B13=2,Hypothèses!$B$27,IF(B13=3,Hypothèses!$C$27,Hypothèses!$D$27)))+(IF(B13=1,Hypothèses!$B$27,IF(B13=2,Hypothèses!$C$27,IF(B13=3,Hypothèses!$D$27,Hypothèses!$D$27)))-(IF(B13=1,0,IF(B13=2,Hypothèses!$B$27,IF(B13=3,Hypothèses!$C$27,Hypothèses!$D$27)))))*((A13)-INT((A13-1)/12)*12)/12)*$B$1</f>
        <v>10.833333333333334</v>
      </c>
      <c r="I13">
        <f>(IF(B13=1,0,IF(B13=2,Hypothèses!$B$28,IF(B13=3,Hypothèses!$C$28,Hypothèses!$D$28)))+(IF(B13=1,Hypothèses!$B$28,IF(B13=2,Hypothèses!$C$28,IF(B13=3,Hypothèses!$D$28,Hypothèses!$D$28)))-(IF(B13=1,0,IF(B13=2,Hypothèses!$B$28,IF(B13=3,Hypothèses!$C$28,Hypothèses!$D$28)))))*((A13)-INT((A13-1)/12)*12)/12)*$B$1</f>
        <v>0</v>
      </c>
      <c r="J13">
        <f>(IF(B13=1,0,IF(B13=2,Hypothèses!$B$29,IF(B13=3,Hypothèses!$C$29,Hypothèses!$D$29)))+(IF(B13=1,Hypothèses!$B$29,IF(B13=2,Hypothèses!$C$29,IF(B13=3,Hypothèses!$D$29,Hypothèses!$D$29)))-(IF(B13=1,0,IF(B13=2,Hypothèses!$B$29,IF(B13=3,Hypothèses!$C$29,Hypothèses!$D$29)))))*((A13)-INT((A13-1)/12)*12)/12)*$B$1</f>
        <v>0</v>
      </c>
      <c r="K13">
        <f>IF(A13&lt;Hypothèses!$B$7,0,Hypothèses!$B$8*(1-Hypothèses!$B$9)^(A13-Hypothèses!$B$7))</f>
        <v>4.5000000000000005E-2</v>
      </c>
      <c r="L13">
        <f t="shared" si="1"/>
        <v>13.3</v>
      </c>
      <c r="M13">
        <f>(C13*Hypothèses!$B$11+D13*Hypothèses!$B$12+E13*Hypothèses!$B$13+F13*Hypothèses!$B$14)*(IF(B13=1,Hypothèses!$B$20,IF(B13=2,Hypothèses!$B$21,Hypothèses!$B$22))+(1-(IF(B13=1,Hypothèses!$B$20,IF(B13=2,Hypothèses!$B$21,Hypothèses!$B$22))))*11/12)</f>
        <v>1660.4433333333336</v>
      </c>
      <c r="N13">
        <f>L13*IF(B13=1,Hypothèses!$C$20,IF(B13=2,Hypothèses!$C$21,Hypothèses!$C$22))*IF(B13=1,Hypothèses!$D$20,IF(B13=2,Hypothèses!$D$21,Hypothèses!$D$22))</f>
        <v>13.3</v>
      </c>
      <c r="O13">
        <f>IF(A13=18,IF($B$2&gt;=1,Hypothèses!$B$33,0),IF(AND(OR(A13=30,A13=34),$D$2&gt;=1),Hypothèses!$B$34*MIN(1,$D$2/3),0))</f>
        <v>0</v>
      </c>
      <c r="P13">
        <f t="shared" si="2"/>
        <v>1673.7433333333336</v>
      </c>
      <c r="Q13">
        <f>P13/(1+Hypothèses!$B$6)</f>
        <v>1394.7861111111113</v>
      </c>
      <c r="R13">
        <f>Hypothèses!$B$3*(1+Hypothèses!$B$4)^INT((A13-1)/3)</f>
        <v>760.43749999999977</v>
      </c>
      <c r="S13">
        <f t="shared" si="3"/>
        <v>3</v>
      </c>
      <c r="T13">
        <f>S13*Hypothèses!$B$17</f>
        <v>13500</v>
      </c>
      <c r="U13">
        <f>Q13*Hypothèses!$B$5</f>
        <v>13.947861111111113</v>
      </c>
      <c r="V13">
        <f t="shared" si="4"/>
        <v>-12879.599249999999</v>
      </c>
      <c r="W13">
        <f t="shared" si="5"/>
        <v>-104850.12325</v>
      </c>
    </row>
    <row r="14" spans="1:23" x14ac:dyDescent="0.25">
      <c r="A14">
        <v>11</v>
      </c>
      <c r="B14">
        <f t="shared" si="0"/>
        <v>1</v>
      </c>
      <c r="C14">
        <f>ROUND(IF(MOD($A14,12)=0,G14,(IF(14=4,0,C13))*(1-$K14)+IF((IF(14=4,0,C13))*(1-$K14)&lt;G14,(G14-(IF(14=4,0,C13))*(1-$K14))*Hypothèses!$B$10,0)),1)</f>
        <v>4.9000000000000004</v>
      </c>
      <c r="D14">
        <f>ROUND(IF(MOD($A14,12)=0,H14,(IF(14=4,0,D13))*(1-$K14)+IF((IF(14=4,0,D13))*(1-$K14)&lt;H14,(H14-(IF(14=4,0,D13))*(1-$K14))*Hypothèses!$B$10,0)),1)</f>
        <v>9.9</v>
      </c>
      <c r="E14">
        <f>ROUND(IF(MOD($A14,12)=0,I14,(IF(14=4,0,E13))*(1-$K14)+IF((IF(14=4,0,E13))*(1-$K14)&lt;I14,(I14-(IF(14=4,0,E13))*(1-$K14))*Hypothèses!$B$10,0)),1)</f>
        <v>0</v>
      </c>
      <c r="F14">
        <f>ROUND(IF(MOD($A14,12)=0,J14,(IF(14=4,0,F13))*(1-$K14)+IF((IF(14=4,0,F13))*(1-$K14)&lt;J14,(J14-(IF(14=4,0,F13))*(1-$K14))*Hypothèses!$B$10,0)),1)</f>
        <v>0</v>
      </c>
      <c r="G14">
        <f>(IF(B14=1,0,IF(B14=2,Hypothèses!$B$26,IF(B14=3,Hypothèses!$C$26,Hypothèses!$D$26)))+(IF(B14=1,Hypothèses!$B$26,IF(B14=2,Hypothèses!$C$26,IF(B14=3,Hypothèses!$D$26,Hypothèses!$D$26)))-(IF(B14=1,0,IF(B14=2,Hypothèses!$B$26,IF(B14=3,Hypothèses!$C$26,Hypothèses!$D$26)))))*((A14)-INT((A14-1)/12)*12)/12)*$B$1</f>
        <v>5.958333333333333</v>
      </c>
      <c r="H14">
        <f>(IF(B14=1,0,IF(B14=2,Hypothèses!$B$27,IF(B14=3,Hypothèses!$C$27,Hypothèses!$D$27)))+(IF(B14=1,Hypothèses!$B$27,IF(B14=2,Hypothèses!$C$27,IF(B14=3,Hypothèses!$D$27,Hypothèses!$D$27)))-(IF(B14=1,0,IF(B14=2,Hypothèses!$B$27,IF(B14=3,Hypothèses!$C$27,Hypothèses!$D$27)))))*((A14)-INT((A14-1)/12)*12)/12)*$B$1</f>
        <v>11.916666666666666</v>
      </c>
      <c r="I14">
        <f>(IF(B14=1,0,IF(B14=2,Hypothèses!$B$28,IF(B14=3,Hypothèses!$C$28,Hypothèses!$D$28)))+(IF(B14=1,Hypothèses!$B$28,IF(B14=2,Hypothèses!$C$28,IF(B14=3,Hypothèses!$D$28,Hypothèses!$D$28)))-(IF(B14=1,0,IF(B14=2,Hypothèses!$B$28,IF(B14=3,Hypothèses!$C$28,Hypothèses!$D$28)))))*((A14)-INT((A14-1)/12)*12)/12)*$B$1</f>
        <v>0</v>
      </c>
      <c r="J14">
        <f>(IF(B14=1,0,IF(B14=2,Hypothèses!$B$29,IF(B14=3,Hypothèses!$C$29,Hypothèses!$D$29)))+(IF(B14=1,Hypothèses!$B$29,IF(B14=2,Hypothèses!$C$29,IF(B14=3,Hypothèses!$D$29,Hypothèses!$D$29)))-(IF(B14=1,0,IF(B14=2,Hypothèses!$B$29,IF(B14=3,Hypothèses!$C$29,Hypothèses!$D$29)))))*((A14)-INT((A14-1)/12)*12)/12)*$B$1</f>
        <v>0</v>
      </c>
      <c r="K14">
        <f>IF(A14&lt;Hypothèses!$B$7,0,Hypothèses!$B$8*(1-Hypothèses!$B$9)^(A14-Hypothèses!$B$7))</f>
        <v>4.0500000000000008E-2</v>
      </c>
      <c r="L14">
        <f t="shared" si="1"/>
        <v>14.8</v>
      </c>
      <c r="M14">
        <f>(C14*Hypothèses!$B$11+D14*Hypothèses!$B$12+E14*Hypothèses!$B$13+F14*Hypothèses!$B$14)*(IF(B14=1,Hypothèses!$B$20,IF(B14=2,Hypothèses!$B$21,Hypothèses!$B$22))+(1-(IF(B14=1,Hypothèses!$B$20,IF(B14=2,Hypothèses!$B$21,Hypothèses!$B$22))))*11/12)</f>
        <v>1847.4933333333336</v>
      </c>
      <c r="N14">
        <f>L14*IF(B14=1,Hypothèses!$C$20,IF(B14=2,Hypothèses!$C$21,Hypothèses!$C$22))*IF(B14=1,Hypothèses!$D$20,IF(B14=2,Hypothèses!$D$21,Hypothèses!$D$22))</f>
        <v>14.800000000000002</v>
      </c>
      <c r="O14">
        <f>IF(A14=18,IF($B$2&gt;=1,Hypothèses!$B$33,0),IF(AND(OR(A14=30,A14=34),$D$2&gt;=1),Hypothèses!$B$34*MIN(1,$D$2/3),0))</f>
        <v>0</v>
      </c>
      <c r="P14">
        <f t="shared" si="2"/>
        <v>1862.2933333333335</v>
      </c>
      <c r="Q14">
        <f>P14/(1+Hypothèses!$B$6)</f>
        <v>1551.9111111111113</v>
      </c>
      <c r="R14">
        <f>Hypothèses!$B$3*(1+Hypothèses!$B$4)^INT((A14-1)/3)</f>
        <v>760.43749999999977</v>
      </c>
      <c r="S14">
        <f t="shared" si="3"/>
        <v>3</v>
      </c>
      <c r="T14">
        <f>S14*Hypothèses!$B$17</f>
        <v>13500</v>
      </c>
      <c r="U14">
        <f>Q14*Hypothèses!$B$5</f>
        <v>15.519111111111114</v>
      </c>
      <c r="V14">
        <f t="shared" si="4"/>
        <v>-12724.045499999998</v>
      </c>
      <c r="W14">
        <f t="shared" si="5"/>
        <v>-117574.16875</v>
      </c>
    </row>
    <row r="15" spans="1:23" x14ac:dyDescent="0.25">
      <c r="A15">
        <v>12</v>
      </c>
      <c r="B15">
        <f t="shared" si="0"/>
        <v>1</v>
      </c>
      <c r="C15">
        <f>ROUND(IF(MOD($A15,12)=0,G15,(IF(15=4,0,C14))*(1-$K15)+IF((IF(15=4,0,C14))*(1-$K15)&lt;G15,(G15-(IF(15=4,0,C14))*(1-$K15))*Hypothèses!$B$10,0)),1)</f>
        <v>6.5</v>
      </c>
      <c r="D15">
        <f>ROUND(IF(MOD($A15,12)=0,H15,(IF(15=4,0,D14))*(1-$K15)+IF((IF(15=4,0,D14))*(1-$K15)&lt;H15,(H15-(IF(15=4,0,D14))*(1-$K15))*Hypothèses!$B$10,0)),1)</f>
        <v>13</v>
      </c>
      <c r="E15">
        <f>ROUND(IF(MOD($A15,12)=0,I15,(IF(15=4,0,E14))*(1-$K15)+IF((IF(15=4,0,E14))*(1-$K15)&lt;I15,(I15-(IF(15=4,0,E14))*(1-$K15))*Hypothèses!$B$10,0)),1)</f>
        <v>0</v>
      </c>
      <c r="F15">
        <f>ROUND(IF(MOD($A15,12)=0,J15,(IF(15=4,0,F14))*(1-$K15)+IF((IF(15=4,0,F14))*(1-$K15)&lt;J15,(J15-(IF(15=4,0,F14))*(1-$K15))*Hypothèses!$B$10,0)),1)</f>
        <v>0</v>
      </c>
      <c r="G15">
        <f>(IF(B15=1,0,IF(B15=2,Hypothèses!$B$26,IF(B15=3,Hypothèses!$C$26,Hypothèses!$D$26)))+(IF(B15=1,Hypothèses!$B$26,IF(B15=2,Hypothèses!$C$26,IF(B15=3,Hypothèses!$D$26,Hypothèses!$D$26)))-(IF(B15=1,0,IF(B15=2,Hypothèses!$B$26,IF(B15=3,Hypothèses!$C$26,Hypothèses!$D$26)))))*((A15)-INT((A15-1)/12)*12)/12)*$B$1</f>
        <v>6.5</v>
      </c>
      <c r="H15">
        <f>(IF(B15=1,0,IF(B15=2,Hypothèses!$B$27,IF(B15=3,Hypothèses!$C$27,Hypothèses!$D$27)))+(IF(B15=1,Hypothèses!$B$27,IF(B15=2,Hypothèses!$C$27,IF(B15=3,Hypothèses!$D$27,Hypothèses!$D$27)))-(IF(B15=1,0,IF(B15=2,Hypothèses!$B$27,IF(B15=3,Hypothèses!$C$27,Hypothèses!$D$27)))))*((A15)-INT((A15-1)/12)*12)/12)*$B$1</f>
        <v>13</v>
      </c>
      <c r="I15">
        <f>(IF(B15=1,0,IF(B15=2,Hypothèses!$B$28,IF(B15=3,Hypothèses!$C$28,Hypothèses!$D$28)))+(IF(B15=1,Hypothèses!$B$28,IF(B15=2,Hypothèses!$C$28,IF(B15=3,Hypothèses!$D$28,Hypothèses!$D$28)))-(IF(B15=1,0,IF(B15=2,Hypothèses!$B$28,IF(B15=3,Hypothèses!$C$28,Hypothèses!$D$28)))))*((A15)-INT((A15-1)/12)*12)/12)*$B$1</f>
        <v>0</v>
      </c>
      <c r="J15">
        <f>(IF(B15=1,0,IF(B15=2,Hypothèses!$B$29,IF(B15=3,Hypothèses!$C$29,Hypothèses!$D$29)))+(IF(B15=1,Hypothèses!$B$29,IF(B15=2,Hypothèses!$C$29,IF(B15=3,Hypothèses!$D$29,Hypothèses!$D$29)))-(IF(B15=1,0,IF(B15=2,Hypothèses!$B$29,IF(B15=3,Hypothèses!$C$29,Hypothèses!$D$29)))))*((A15)-INT((A15-1)/12)*12)/12)*$B$1</f>
        <v>0</v>
      </c>
      <c r="K15">
        <f>IF(A15&lt;Hypothèses!$B$7,0,Hypothèses!$B$8*(1-Hypothèses!$B$9)^(A15-Hypothèses!$B$7))</f>
        <v>3.6450000000000003E-2</v>
      </c>
      <c r="L15">
        <f t="shared" si="1"/>
        <v>19.5</v>
      </c>
      <c r="M15">
        <f>(C15*Hypothèses!$B$11+D15*Hypothèses!$B$12+E15*Hypothèses!$B$13+F15*Hypothèses!$B$14)*(IF(B15=1,Hypothèses!$B$20,IF(B15=2,Hypothèses!$B$21,Hypothèses!$B$22))+(1-(IF(B15=1,Hypothèses!$B$20,IF(B15=2,Hypothèses!$B$21,Hypothèses!$B$22))))*11/12)</f>
        <v>2431.65</v>
      </c>
      <c r="N15">
        <f>L15*IF(B15=1,Hypothèses!$C$20,IF(B15=2,Hypothèses!$C$21,Hypothèses!$C$22))*IF(B15=1,Hypothèses!$D$20,IF(B15=2,Hypothèses!$D$21,Hypothèses!$D$22))</f>
        <v>19.5</v>
      </c>
      <c r="O15">
        <f>IF(A15=18,IF($B$2&gt;=1,Hypothèses!$B$33,0),IF(AND(OR(A15=30,A15=34),$D$2&gt;=1),Hypothèses!$B$34*MIN(1,$D$2/3),0))</f>
        <v>0</v>
      </c>
      <c r="P15">
        <f t="shared" si="2"/>
        <v>2451.15</v>
      </c>
      <c r="Q15">
        <f>P15/(1+Hypothèses!$B$6)</f>
        <v>2042.6250000000002</v>
      </c>
      <c r="R15">
        <f>Hypothèses!$B$3*(1+Hypothèses!$B$4)^INT((A15-1)/3)</f>
        <v>760.43749999999977</v>
      </c>
      <c r="S15">
        <f t="shared" si="3"/>
        <v>3</v>
      </c>
      <c r="T15">
        <f>S15*Hypothèses!$B$17</f>
        <v>13500</v>
      </c>
      <c r="U15">
        <f>Q15*Hypothèses!$B$5</f>
        <v>20.426250000000003</v>
      </c>
      <c r="V15">
        <f t="shared" si="4"/>
        <v>-12238.23875</v>
      </c>
      <c r="W15">
        <f t="shared" si="5"/>
        <v>-129812.4075</v>
      </c>
    </row>
    <row r="16" spans="1:23" x14ac:dyDescent="0.25">
      <c r="A16">
        <v>13</v>
      </c>
      <c r="B16">
        <f t="shared" si="0"/>
        <v>2</v>
      </c>
      <c r="C16">
        <f>ROUND(IF(MOD($A16,12)=0,G16,(IF(16=4,0,C15))*(1-$K16)+IF((IF(16=4,0,C15))*(1-$K16)&lt;G16,(G16-(IF(16=4,0,C15))*(1-$K16))*Hypothèses!$B$10,0)),1)</f>
        <v>6.6</v>
      </c>
      <c r="D16">
        <f>ROUND(IF(MOD($A16,12)=0,H16,(IF(16=4,0,D15))*(1-$K16)+IF((IF(16=4,0,D15))*(1-$K16)&lt;H16,(H16-(IF(16=4,0,D15))*(1-$K16))*Hypothèses!$B$10,0)),1)</f>
        <v>13.8</v>
      </c>
      <c r="E16">
        <f>ROUND(IF(MOD($A16,12)=0,I16,(IF(16=4,0,E15))*(1-$K16)+IF((IF(16=4,0,E15))*(1-$K16)&lt;I16,(I16-(IF(16=4,0,E15))*(1-$K16))*Hypothèses!$B$10,0)),1)</f>
        <v>0</v>
      </c>
      <c r="F16">
        <f>ROUND(IF(MOD($A16,12)=0,J16,(IF(16=4,0,F15))*(1-$K16)+IF((IF(16=4,0,F15))*(1-$K16)&lt;J16,(J16-(IF(16=4,0,F15))*(1-$K16))*Hypothèses!$B$10,0)),1)</f>
        <v>0</v>
      </c>
      <c r="G16">
        <f>(IF(B16=1,0,IF(B16=2,Hypothèses!$B$26,IF(B16=3,Hypothèses!$C$26,Hypothèses!$D$26)))+(IF(B16=1,Hypothèses!$B$26,IF(B16=2,Hypothèses!$C$26,IF(B16=3,Hypothèses!$D$26,Hypothèses!$D$26)))-(IF(B16=1,0,IF(B16=2,Hypothèses!$B$26,IF(B16=3,Hypothèses!$C$26,Hypothèses!$D$26)))))*((A16)-INT((A16-1)/12)*12)/12)*$B$1</f>
        <v>7.041666666666667</v>
      </c>
      <c r="H16">
        <f>(IF(B16=1,0,IF(B16=2,Hypothèses!$B$27,IF(B16=3,Hypothèses!$C$27,Hypothèses!$D$27)))+(IF(B16=1,Hypothèses!$B$27,IF(B16=2,Hypothèses!$C$27,IF(B16=3,Hypothèses!$D$27,Hypothèses!$D$27)))-(IF(B16=1,0,IF(B16=2,Hypothèses!$B$27,IF(B16=3,Hypothèses!$C$27,Hypothèses!$D$27)))))*((A16)-INT((A16-1)/12)*12)/12)*$B$1</f>
        <v>15.708333333333334</v>
      </c>
      <c r="I16">
        <f>(IF(B16=1,0,IF(B16=2,Hypothèses!$B$28,IF(B16=3,Hypothèses!$C$28,Hypothèses!$D$28)))+(IF(B16=1,Hypothèses!$B$28,IF(B16=2,Hypothèses!$C$28,IF(B16=3,Hypothèses!$D$28,Hypothèses!$D$28)))-(IF(B16=1,0,IF(B16=2,Hypothèses!$B$28,IF(B16=3,Hypothèses!$C$28,Hypothèses!$D$28)))))*((A16)-INT((A16-1)/12)*12)/12)*$B$1</f>
        <v>0.10833333333333334</v>
      </c>
      <c r="J16">
        <f>(IF(B16=1,0,IF(B16=2,Hypothèses!$B$29,IF(B16=3,Hypothèses!$C$29,Hypothèses!$D$29)))+(IF(B16=1,Hypothèses!$B$29,IF(B16=2,Hypothèses!$C$29,IF(B16=3,Hypothèses!$D$29,Hypothèses!$D$29)))-(IF(B16=1,0,IF(B16=2,Hypothèses!$B$29,IF(B16=3,Hypothèses!$C$29,Hypothèses!$D$29)))))*((A16)-INT((A16-1)/12)*12)/12)*$B$1</f>
        <v>0.10833333333333334</v>
      </c>
      <c r="K16">
        <f>IF(A16&lt;Hypothèses!$B$7,0,Hypothèses!$B$8*(1-Hypothèses!$B$9)^(A16-Hypothèses!$B$7))</f>
        <v>3.2805000000000008E-2</v>
      </c>
      <c r="L16">
        <f t="shared" si="1"/>
        <v>20.399999999999999</v>
      </c>
      <c r="M16">
        <f>(C16*Hypothèses!$B$11+D16*Hypothèses!$B$12+E16*Hypothèses!$B$13+F16*Hypothèses!$B$14)*(IF(B16=1,Hypothèses!$B$20,IF(B16=2,Hypothèses!$B$21,Hypothèses!$B$22))+(1-(IF(B16=1,Hypothèses!$B$20,IF(B16=2,Hypothèses!$B$21,Hypothèses!$B$22))))*11/12)</f>
        <v>2533.4500000000003</v>
      </c>
      <c r="N16">
        <f>L16*IF(B16=1,Hypothèses!$C$20,IF(B16=2,Hypothèses!$C$21,Hypothèses!$C$22))*IF(B16=1,Hypothèses!$D$20,IF(B16=2,Hypothèses!$D$21,Hypothèses!$D$22))</f>
        <v>51</v>
      </c>
      <c r="O16">
        <f>IF(A16=18,IF($B$2&gt;=1,Hypothèses!$B$33,0),IF(AND(OR(A16=30,A16=34),$D$2&gt;=1),Hypothèses!$B$34*MIN(1,$D$2/3),0))</f>
        <v>0</v>
      </c>
      <c r="P16">
        <f t="shared" si="2"/>
        <v>2584.4500000000003</v>
      </c>
      <c r="Q16">
        <f>P16/(1+Hypothèses!$B$6)</f>
        <v>2153.7083333333335</v>
      </c>
      <c r="R16">
        <f>Hypothèses!$B$3*(1+Hypothèses!$B$4)^INT((A16-1)/3)</f>
        <v>874.50312499999973</v>
      </c>
      <c r="S16">
        <f t="shared" si="3"/>
        <v>4</v>
      </c>
      <c r="T16">
        <f>S16*Hypothèses!$B$17</f>
        <v>18000</v>
      </c>
      <c r="U16">
        <f>Q16*Hypothèses!$B$5</f>
        <v>21.537083333333335</v>
      </c>
      <c r="V16">
        <f t="shared" si="4"/>
        <v>-16742.331875</v>
      </c>
      <c r="W16">
        <f t="shared" si="5"/>
        <v>-146554.739375</v>
      </c>
    </row>
    <row r="17" spans="1:23" x14ac:dyDescent="0.25">
      <c r="A17">
        <v>14</v>
      </c>
      <c r="B17">
        <f t="shared" si="0"/>
        <v>2</v>
      </c>
      <c r="C17">
        <f>ROUND(IF(MOD($A17,12)=0,G17,(IF(17=4,0,C16))*(1-$K17)+IF((IF(17=4,0,C16))*(1-$K17)&lt;G17,(G17-(IF(17=4,0,C16))*(1-$K17))*Hypothèses!$B$10,0)),1)</f>
        <v>6.9</v>
      </c>
      <c r="D17">
        <f>ROUND(IF(MOD($A17,12)=0,H17,(IF(17=4,0,D16))*(1-$K17)+IF((IF(17=4,0,D16))*(1-$K17)&lt;H17,(H17-(IF(17=4,0,D16))*(1-$K17))*Hypothèses!$B$10,0)),1)</f>
        <v>15.4</v>
      </c>
      <c r="E17">
        <f>ROUND(IF(MOD($A17,12)=0,I17,(IF(17=4,0,E16))*(1-$K17)+IF((IF(17=4,0,E16))*(1-$K17)&lt;I17,(I17-(IF(17=4,0,E16))*(1-$K17))*Hypothèses!$B$10,0)),1)</f>
        <v>0.1</v>
      </c>
      <c r="F17">
        <f>ROUND(IF(MOD($A17,12)=0,J17,(IF(17=4,0,F16))*(1-$K17)+IF((IF(17=4,0,F16))*(1-$K17)&lt;J17,(J17-(IF(17=4,0,F16))*(1-$K17))*Hypothèses!$B$10,0)),1)</f>
        <v>0.1</v>
      </c>
      <c r="G17">
        <f>(IF(B17=1,0,IF(B17=2,Hypothèses!$B$26,IF(B17=3,Hypothèses!$C$26,Hypothèses!$D$26)))+(IF(B17=1,Hypothèses!$B$26,IF(B17=2,Hypothèses!$C$26,IF(B17=3,Hypothèses!$D$26,Hypothèses!$D$26)))-(IF(B17=1,0,IF(B17=2,Hypothèses!$B$26,IF(B17=3,Hypothèses!$C$26,Hypothèses!$D$26)))))*((A17)-INT((A17-1)/12)*12)/12)*$B$1</f>
        <v>7.583333333333333</v>
      </c>
      <c r="H17">
        <f>(IF(B17=1,0,IF(B17=2,Hypothèses!$B$27,IF(B17=3,Hypothèses!$C$27,Hypothèses!$D$27)))+(IF(B17=1,Hypothèses!$B$27,IF(B17=2,Hypothèses!$C$27,IF(B17=3,Hypothèses!$D$27,Hypothèses!$D$27)))-(IF(B17=1,0,IF(B17=2,Hypothèses!$B$27,IF(B17=3,Hypothèses!$C$27,Hypothèses!$D$27)))))*((A17)-INT((A17-1)/12)*12)/12)*$B$1</f>
        <v>18.416666666666668</v>
      </c>
      <c r="I17">
        <f>(IF(B17=1,0,IF(B17=2,Hypothèses!$B$28,IF(B17=3,Hypothèses!$C$28,Hypothèses!$D$28)))+(IF(B17=1,Hypothèses!$B$28,IF(B17=2,Hypothèses!$C$28,IF(B17=3,Hypothèses!$D$28,Hypothèses!$D$28)))-(IF(B17=1,0,IF(B17=2,Hypothèses!$B$28,IF(B17=3,Hypothèses!$C$28,Hypothèses!$D$28)))))*((A17)-INT((A17-1)/12)*12)/12)*$B$1</f>
        <v>0.21666666666666667</v>
      </c>
      <c r="J17">
        <f>(IF(B17=1,0,IF(B17=2,Hypothèses!$B$29,IF(B17=3,Hypothèses!$C$29,Hypothèses!$D$29)))+(IF(B17=1,Hypothèses!$B$29,IF(B17=2,Hypothèses!$C$29,IF(B17=3,Hypothèses!$D$29,Hypothèses!$D$29)))-(IF(B17=1,0,IF(B17=2,Hypothèses!$B$29,IF(B17=3,Hypothèses!$C$29,Hypothèses!$D$29)))))*((A17)-INT((A17-1)/12)*12)/12)*$B$1</f>
        <v>0.21666666666666667</v>
      </c>
      <c r="K17">
        <f>IF(A17&lt;Hypothèses!$B$7,0,Hypothèses!$B$8*(1-Hypothèses!$B$9)^(A17-Hypothèses!$B$7))</f>
        <v>2.9524500000000009E-2</v>
      </c>
      <c r="L17">
        <f t="shared" si="1"/>
        <v>22.500000000000004</v>
      </c>
      <c r="M17">
        <f>(C17*Hypothèses!$B$11+D17*Hypothèses!$B$12+E17*Hypothèses!$B$13+F17*Hypothèses!$B$14)*(IF(B17=1,Hypothèses!$B$20,IF(B17=2,Hypothèses!$B$21,Hypothèses!$B$22))+(1-(IF(B17=1,Hypothèses!$B$20,IF(B17=2,Hypothèses!$B$21,Hypothèses!$B$22))))*11/12)</f>
        <v>2930.2</v>
      </c>
      <c r="N17">
        <f>L17*IF(B17=1,Hypothèses!$C$20,IF(B17=2,Hypothèses!$C$21,Hypothèses!$C$22))*IF(B17=1,Hypothèses!$D$20,IF(B17=2,Hypothèses!$D$21,Hypothèses!$D$22))</f>
        <v>56.250000000000014</v>
      </c>
      <c r="O17">
        <f>IF(A17=18,IF($B$2&gt;=1,Hypothèses!$B$33,0),IF(AND(OR(A17=30,A17=34),$D$2&gt;=1),Hypothèses!$B$34*MIN(1,$D$2/3),0))</f>
        <v>0</v>
      </c>
      <c r="P17">
        <f t="shared" si="2"/>
        <v>2986.45</v>
      </c>
      <c r="Q17">
        <f>P17/(1+Hypothèses!$B$6)</f>
        <v>2488.7083333333335</v>
      </c>
      <c r="R17">
        <f>Hypothèses!$B$3*(1+Hypothèses!$B$4)^INT((A17-1)/3)</f>
        <v>874.50312499999973</v>
      </c>
      <c r="S17">
        <f t="shared" si="3"/>
        <v>4</v>
      </c>
      <c r="T17">
        <f>S17*Hypothèses!$B$17</f>
        <v>18000</v>
      </c>
      <c r="U17">
        <f>Q17*Hypothèses!$B$5</f>
        <v>24.887083333333337</v>
      </c>
      <c r="V17">
        <f t="shared" si="4"/>
        <v>-16410.681875000002</v>
      </c>
      <c r="W17">
        <f t="shared" si="5"/>
        <v>-162965.42125000001</v>
      </c>
    </row>
    <row r="18" spans="1:23" x14ac:dyDescent="0.25">
      <c r="A18">
        <v>15</v>
      </c>
      <c r="B18">
        <f t="shared" si="0"/>
        <v>2</v>
      </c>
      <c r="C18">
        <f>ROUND(IF(MOD($A18,12)=0,G18,(IF(18=4,0,C17))*(1-$K18)+IF((IF(18=4,0,C17))*(1-$K18)&lt;G18,(G18-(IF(18=4,0,C17))*(1-$K18))*Hypothèses!$B$10,0)),1)</f>
        <v>7.3</v>
      </c>
      <c r="D18">
        <f>ROUND(IF(MOD($A18,12)=0,H18,(IF(18=4,0,D17))*(1-$K18)+IF((IF(18=4,0,D17))*(1-$K18)&lt;H18,(H18-(IF(18=4,0,D17))*(1-$K18))*Hypothèses!$B$10,0)),1)</f>
        <v>17.399999999999999</v>
      </c>
      <c r="E18">
        <f>ROUND(IF(MOD($A18,12)=0,I18,(IF(18=4,0,E17))*(1-$K18)+IF((IF(18=4,0,E17))*(1-$K18)&lt;I18,(I18-(IF(18=4,0,E17))*(1-$K18))*Hypothèses!$B$10,0)),1)</f>
        <v>0.2</v>
      </c>
      <c r="F18">
        <f>ROUND(IF(MOD($A18,12)=0,J18,(IF(18=4,0,F17))*(1-$K18)+IF((IF(18=4,0,F17))*(1-$K18)&lt;J18,(J18-(IF(18=4,0,F17))*(1-$K18))*Hypothèses!$B$10,0)),1)</f>
        <v>0.2</v>
      </c>
      <c r="G18">
        <f>(IF(B18=1,0,IF(B18=2,Hypothèses!$B$26,IF(B18=3,Hypothèses!$C$26,Hypothèses!$D$26)))+(IF(B18=1,Hypothèses!$B$26,IF(B18=2,Hypothèses!$C$26,IF(B18=3,Hypothèses!$D$26,Hypothèses!$D$26)))-(IF(B18=1,0,IF(B18=2,Hypothèses!$B$26,IF(B18=3,Hypothèses!$C$26,Hypothèses!$D$26)))))*((A18)-INT((A18-1)/12)*12)/12)*$B$1</f>
        <v>8.125</v>
      </c>
      <c r="H18">
        <f>(IF(B18=1,0,IF(B18=2,Hypothèses!$B$27,IF(B18=3,Hypothèses!$C$27,Hypothèses!$D$27)))+(IF(B18=1,Hypothèses!$B$27,IF(B18=2,Hypothèses!$C$27,IF(B18=3,Hypothèses!$D$27,Hypothèses!$D$27)))-(IF(B18=1,0,IF(B18=2,Hypothèses!$B$27,IF(B18=3,Hypothèses!$C$27,Hypothèses!$D$27)))))*((A18)-INT((A18-1)/12)*12)/12)*$B$1</f>
        <v>21.125</v>
      </c>
      <c r="I18">
        <f>(IF(B18=1,0,IF(B18=2,Hypothèses!$B$28,IF(B18=3,Hypothèses!$C$28,Hypothèses!$D$28)))+(IF(B18=1,Hypothèses!$B$28,IF(B18=2,Hypothèses!$C$28,IF(B18=3,Hypothèses!$D$28,Hypothèses!$D$28)))-(IF(B18=1,0,IF(B18=2,Hypothèses!$B$28,IF(B18=3,Hypothèses!$C$28,Hypothèses!$D$28)))))*((A18)-INT((A18-1)/12)*12)/12)*$B$1</f>
        <v>0.32500000000000001</v>
      </c>
      <c r="J18">
        <f>(IF(B18=1,0,IF(B18=2,Hypothèses!$B$29,IF(B18=3,Hypothèses!$C$29,Hypothèses!$D$29)))+(IF(B18=1,Hypothèses!$B$29,IF(B18=2,Hypothèses!$C$29,IF(B18=3,Hypothèses!$D$29,Hypothèses!$D$29)))-(IF(B18=1,0,IF(B18=2,Hypothèses!$B$29,IF(B18=3,Hypothèses!$C$29,Hypothèses!$D$29)))))*((A18)-INT((A18-1)/12)*12)/12)*$B$1</f>
        <v>0.32500000000000001</v>
      </c>
      <c r="K18">
        <f>IF(A18&lt;Hypothèses!$B$7,0,Hypothèses!$B$8*(1-Hypothèses!$B$9)^(A18-Hypothèses!$B$7))</f>
        <v>2.657205000000001E-2</v>
      </c>
      <c r="L18">
        <f t="shared" si="1"/>
        <v>25.099999999999998</v>
      </c>
      <c r="M18">
        <f>(C18*Hypothèses!$B$11+D18*Hypothèses!$B$12+E18*Hypothèses!$B$13+F18*Hypothèses!$B$14)*(IF(B18=1,Hypothèses!$B$20,IF(B18=2,Hypothèses!$B$21,Hypothèses!$B$22))+(1-(IF(B18=1,Hypothèses!$B$20,IF(B18=2,Hypothèses!$B$21,Hypothèses!$B$22))))*11/12)</f>
        <v>3392.5958333333328</v>
      </c>
      <c r="N18">
        <f>L18*IF(B18=1,Hypothèses!$C$20,IF(B18=2,Hypothèses!$C$21,Hypothèses!$C$22))*IF(B18=1,Hypothèses!$D$20,IF(B18=2,Hypothèses!$D$21,Hypothèses!$D$22))</f>
        <v>62.749999999999993</v>
      </c>
      <c r="O18">
        <f>IF(A18=18,IF($B$2&gt;=1,Hypothèses!$B$33,0),IF(AND(OR(A18=30,A18=34),$D$2&gt;=1),Hypothèses!$B$34*MIN(1,$D$2/3),0))</f>
        <v>0</v>
      </c>
      <c r="P18">
        <f t="shared" si="2"/>
        <v>3455.3458333333328</v>
      </c>
      <c r="Q18">
        <f>P18/(1+Hypothèses!$B$6)</f>
        <v>2879.4548611111109</v>
      </c>
      <c r="R18">
        <f>Hypothèses!$B$3*(1+Hypothèses!$B$4)^INT((A18-1)/3)</f>
        <v>874.50312499999973</v>
      </c>
      <c r="S18">
        <f t="shared" si="3"/>
        <v>4</v>
      </c>
      <c r="T18">
        <f>S18*Hypothèses!$B$17</f>
        <v>18000</v>
      </c>
      <c r="U18">
        <f>Q18*Hypothèses!$B$5</f>
        <v>28.794548611111111</v>
      </c>
      <c r="V18">
        <f t="shared" si="4"/>
        <v>-16023.842812500001</v>
      </c>
      <c r="W18">
        <f t="shared" si="5"/>
        <v>-178989.26406250001</v>
      </c>
    </row>
    <row r="19" spans="1:23" x14ac:dyDescent="0.25">
      <c r="A19">
        <v>16</v>
      </c>
      <c r="B19">
        <f t="shared" si="0"/>
        <v>2</v>
      </c>
      <c r="C19">
        <f>ROUND(IF(MOD($A19,12)=0,G19,(IF(19=4,0,C18))*(1-$K19)+IF((IF(19=4,0,C18))*(1-$K19)&lt;G19,(G19-(IF(19=4,0,C18))*(1-$K19))*Hypothèses!$B$10,0)),1)</f>
        <v>7.7</v>
      </c>
      <c r="D19">
        <f>ROUND(IF(MOD($A19,12)=0,H19,(IF(19=4,0,D18))*(1-$K19)+IF((IF(19=4,0,D18))*(1-$K19)&lt;H19,(H19-(IF(19=4,0,D18))*(1-$K19))*Hypothèses!$B$10,0)),1)</f>
        <v>19.7</v>
      </c>
      <c r="E19">
        <f>ROUND(IF(MOD($A19,12)=0,I19,(IF(19=4,0,E18))*(1-$K19)+IF((IF(19=4,0,E18))*(1-$K19)&lt;I19,(I19-(IF(19=4,0,E18))*(1-$K19))*Hypothèses!$B$10,0)),1)</f>
        <v>0.3</v>
      </c>
      <c r="F19">
        <f>ROUND(IF(MOD($A19,12)=0,J19,(IF(19=4,0,F18))*(1-$K19)+IF((IF(19=4,0,F18))*(1-$K19)&lt;J19,(J19-(IF(19=4,0,F18))*(1-$K19))*Hypothèses!$B$10,0)),1)</f>
        <v>0.3</v>
      </c>
      <c r="G19">
        <f>(IF(B19=1,0,IF(B19=2,Hypothèses!$B$26,IF(B19=3,Hypothèses!$C$26,Hypothèses!$D$26)))+(IF(B19=1,Hypothèses!$B$26,IF(B19=2,Hypothèses!$C$26,IF(B19=3,Hypothèses!$D$26,Hypothèses!$D$26)))-(IF(B19=1,0,IF(B19=2,Hypothèses!$B$26,IF(B19=3,Hypothèses!$C$26,Hypothèses!$D$26)))))*((A19)-INT((A19-1)/12)*12)/12)*$B$1</f>
        <v>8.6666666666666679</v>
      </c>
      <c r="H19">
        <f>(IF(B19=1,0,IF(B19=2,Hypothèses!$B$27,IF(B19=3,Hypothèses!$C$27,Hypothèses!$D$27)))+(IF(B19=1,Hypothèses!$B$27,IF(B19=2,Hypothèses!$C$27,IF(B19=3,Hypothèses!$D$27,Hypothèses!$D$27)))-(IF(B19=1,0,IF(B19=2,Hypothèses!$B$27,IF(B19=3,Hypothèses!$C$27,Hypothèses!$D$27)))))*((A19)-INT((A19-1)/12)*12)/12)*$B$1</f>
        <v>23.833333333333336</v>
      </c>
      <c r="I19">
        <f>(IF(B19=1,0,IF(B19=2,Hypothèses!$B$28,IF(B19=3,Hypothèses!$C$28,Hypothèses!$D$28)))+(IF(B19=1,Hypothèses!$B$28,IF(B19=2,Hypothèses!$C$28,IF(B19=3,Hypothèses!$D$28,Hypothèses!$D$28)))-(IF(B19=1,0,IF(B19=2,Hypothèses!$B$28,IF(B19=3,Hypothèses!$C$28,Hypothèses!$D$28)))))*((A19)-INT((A19-1)/12)*12)/12)*$B$1</f>
        <v>0.43333333333333335</v>
      </c>
      <c r="J19">
        <f>(IF(B19=1,0,IF(B19=2,Hypothèses!$B$29,IF(B19=3,Hypothèses!$C$29,Hypothèses!$D$29)))+(IF(B19=1,Hypothèses!$B$29,IF(B19=2,Hypothèses!$C$29,IF(B19=3,Hypothèses!$D$29,Hypothèses!$D$29)))-(IF(B19=1,0,IF(B19=2,Hypothèses!$B$29,IF(B19=3,Hypothèses!$C$29,Hypothèses!$D$29)))))*((A19)-INT((A19-1)/12)*12)/12)*$B$1</f>
        <v>0.43333333333333335</v>
      </c>
      <c r="K19">
        <f>IF(A19&lt;Hypothèses!$B$7,0,Hypothèses!$B$8*(1-Hypothèses!$B$9)^(A19-Hypothèses!$B$7))</f>
        <v>2.3914845000000007E-2</v>
      </c>
      <c r="L19">
        <f t="shared" si="1"/>
        <v>28</v>
      </c>
      <c r="M19">
        <f>(C19*Hypothèses!$B$11+D19*Hypothèses!$B$12+E19*Hypothèses!$B$13+F19*Hypothèses!$B$14)*(IF(B19=1,Hypothèses!$B$20,IF(B19=2,Hypothèses!$B$21,Hypothèses!$B$22))+(1-(IF(B19=1,Hypothèses!$B$20,IF(B19=2,Hypothèses!$B$21,Hypothèses!$B$22))))*11/12)</f>
        <v>3897.829166666666</v>
      </c>
      <c r="N19">
        <f>L19*IF(B19=1,Hypothèses!$C$20,IF(B19=2,Hypothèses!$C$21,Hypothèses!$C$22))*IF(B19=1,Hypothèses!$D$20,IF(B19=2,Hypothèses!$D$21,Hypothèses!$D$22))</f>
        <v>70</v>
      </c>
      <c r="O19">
        <f>IF(A19=18,IF($B$2&gt;=1,Hypothèses!$B$33,0),IF(AND(OR(A19=30,A19=34),$D$2&gt;=1),Hypothèses!$B$34*MIN(1,$D$2/3),0))</f>
        <v>0</v>
      </c>
      <c r="P19">
        <f t="shared" si="2"/>
        <v>3967.829166666666</v>
      </c>
      <c r="Q19">
        <f>P19/(1+Hypothèses!$B$6)</f>
        <v>3306.5243055555552</v>
      </c>
      <c r="R19">
        <f>Hypothèses!$B$3*(1+Hypothèses!$B$4)^INT((A19-1)/3)</f>
        <v>1005.6785937499997</v>
      </c>
      <c r="S19">
        <f t="shared" si="3"/>
        <v>4</v>
      </c>
      <c r="T19">
        <f>S19*Hypothèses!$B$17</f>
        <v>18000</v>
      </c>
      <c r="U19">
        <f>Q19*Hypothèses!$B$5</f>
        <v>33.065243055555555</v>
      </c>
      <c r="V19">
        <f t="shared" si="4"/>
        <v>-15732.219531249999</v>
      </c>
      <c r="W19">
        <f t="shared" si="5"/>
        <v>-194721.48359375002</v>
      </c>
    </row>
    <row r="20" spans="1:23" x14ac:dyDescent="0.25">
      <c r="A20">
        <v>17</v>
      </c>
      <c r="B20">
        <f t="shared" si="0"/>
        <v>2</v>
      </c>
      <c r="C20">
        <f>ROUND(IF(MOD($A20,12)=0,G20,(IF(20=4,0,C19))*(1-$K20)+IF((IF(20=4,0,C19))*(1-$K20)&lt;G20,(G20-(IF(20=4,0,C19))*(1-$K20))*Hypothèses!$B$10,0)),1)</f>
        <v>8.1999999999999993</v>
      </c>
      <c r="D20">
        <f>ROUND(IF(MOD($A20,12)=0,H20,(IF(20=4,0,D19))*(1-$K20)+IF((IF(20=4,0,D19))*(1-$K20)&lt;H20,(H20-(IF(20=4,0,D19))*(1-$K20))*Hypothèses!$B$10,0)),1)</f>
        <v>22.2</v>
      </c>
      <c r="E20">
        <f>ROUND(IF(MOD($A20,12)=0,I20,(IF(20=4,0,E19))*(1-$K20)+IF((IF(20=4,0,E19))*(1-$K20)&lt;I20,(I20-(IF(20=4,0,E19))*(1-$K20))*Hypothèses!$B$10,0)),1)</f>
        <v>0.4</v>
      </c>
      <c r="F20">
        <f>ROUND(IF(MOD($A20,12)=0,J20,(IF(20=4,0,F19))*(1-$K20)+IF((IF(20=4,0,F19))*(1-$K20)&lt;J20,(J20-(IF(20=4,0,F19))*(1-$K20))*Hypothèses!$B$10,0)),1)</f>
        <v>0.4</v>
      </c>
      <c r="G20">
        <f>(IF(B20=1,0,IF(B20=2,Hypothèses!$B$26,IF(B20=3,Hypothèses!$C$26,Hypothèses!$D$26)))+(IF(B20=1,Hypothèses!$B$26,IF(B20=2,Hypothèses!$C$26,IF(B20=3,Hypothèses!$D$26,Hypothèses!$D$26)))-(IF(B20=1,0,IF(B20=2,Hypothèses!$B$26,IF(B20=3,Hypothèses!$C$26,Hypothèses!$D$26)))))*((A20)-INT((A20-1)/12)*12)/12)*$B$1</f>
        <v>9.2083333333333339</v>
      </c>
      <c r="H20">
        <f>(IF(B20=1,0,IF(B20=2,Hypothèses!$B$27,IF(B20=3,Hypothèses!$C$27,Hypothèses!$D$27)))+(IF(B20=1,Hypothèses!$B$27,IF(B20=2,Hypothèses!$C$27,IF(B20=3,Hypothèses!$D$27,Hypothèses!$D$27)))-(IF(B20=1,0,IF(B20=2,Hypothèses!$B$27,IF(B20=3,Hypothèses!$C$27,Hypothèses!$D$27)))))*((A20)-INT((A20-1)/12)*12)/12)*$B$1</f>
        <v>26.541666666666664</v>
      </c>
      <c r="I20">
        <f>(IF(B20=1,0,IF(B20=2,Hypothèses!$B$28,IF(B20=3,Hypothèses!$C$28,Hypothèses!$D$28)))+(IF(B20=1,Hypothèses!$B$28,IF(B20=2,Hypothèses!$C$28,IF(B20=3,Hypothèses!$D$28,Hypothèses!$D$28)))-(IF(B20=1,0,IF(B20=2,Hypothèses!$B$28,IF(B20=3,Hypothèses!$C$28,Hypothèses!$D$28)))))*((A20)-INT((A20-1)/12)*12)/12)*$B$1</f>
        <v>0.54166666666666674</v>
      </c>
      <c r="J20">
        <f>(IF(B20=1,0,IF(B20=2,Hypothèses!$B$29,IF(B20=3,Hypothèses!$C$29,Hypothèses!$D$29)))+(IF(B20=1,Hypothèses!$B$29,IF(B20=2,Hypothèses!$C$29,IF(B20=3,Hypothèses!$D$29,Hypothèses!$D$29)))-(IF(B20=1,0,IF(B20=2,Hypothèses!$B$29,IF(B20=3,Hypothèses!$C$29,Hypothèses!$D$29)))))*((A20)-INT((A20-1)/12)*12)/12)*$B$1</f>
        <v>0.54166666666666674</v>
      </c>
      <c r="K20">
        <f>IF(A20&lt;Hypothèses!$B$7,0,Hypothèses!$B$8*(1-Hypothèses!$B$9)^(A20-Hypothèses!$B$7))</f>
        <v>2.1523360500000008E-2</v>
      </c>
      <c r="L20">
        <f t="shared" si="1"/>
        <v>31.199999999999996</v>
      </c>
      <c r="M20">
        <f>(C20*Hypothèses!$B$11+D20*Hypothèses!$B$12+E20*Hypothèses!$B$13+F20*Hypothèses!$B$14)*(IF(B20=1,Hypothèses!$B$20,IF(B20=2,Hypothèses!$B$21,Hypothèses!$B$22))+(1-(IF(B20=1,Hypothèses!$B$20,IF(B20=2,Hypothèses!$B$21,Hypothèses!$B$22))))*11/12)</f>
        <v>4440.1499999999996</v>
      </c>
      <c r="N20">
        <f>L20*IF(B20=1,Hypothèses!$C$20,IF(B20=2,Hypothèses!$C$21,Hypothèses!$C$22))*IF(B20=1,Hypothèses!$D$20,IF(B20=2,Hypothèses!$D$21,Hypothèses!$D$22))</f>
        <v>77.999999999999986</v>
      </c>
      <c r="O20">
        <f>IF(A20=18,IF($B$2&gt;=1,Hypothèses!$B$33,0),IF(AND(OR(A20=30,A20=34),$D$2&gt;=1),Hypothèses!$B$34*MIN(1,$D$2/3),0))</f>
        <v>0</v>
      </c>
      <c r="P20">
        <f t="shared" si="2"/>
        <v>4518.1499999999996</v>
      </c>
      <c r="Q20">
        <f>P20/(1+Hypothèses!$B$6)</f>
        <v>3765.125</v>
      </c>
      <c r="R20">
        <f>Hypothèses!$B$3*(1+Hypothèses!$B$4)^INT((A20-1)/3)</f>
        <v>1005.6785937499997</v>
      </c>
      <c r="S20">
        <f t="shared" si="3"/>
        <v>4</v>
      </c>
      <c r="T20">
        <f>S20*Hypothèses!$B$17</f>
        <v>18000</v>
      </c>
      <c r="U20">
        <f>Q20*Hypothèses!$B$5</f>
        <v>37.651249999999997</v>
      </c>
      <c r="V20">
        <f t="shared" si="4"/>
        <v>-15278.20484375</v>
      </c>
      <c r="W20">
        <f t="shared" si="5"/>
        <v>-209999.68843750001</v>
      </c>
    </row>
    <row r="21" spans="1:23" x14ac:dyDescent="0.25">
      <c r="A21">
        <v>18</v>
      </c>
      <c r="B21">
        <f t="shared" si="0"/>
        <v>2</v>
      </c>
      <c r="C21">
        <f>ROUND(IF(MOD($A21,12)=0,G21,(IF(21=4,0,C20))*(1-$K21)+IF((IF(21=4,0,C20))*(1-$K21)&lt;G21,(G21-(IF(21=4,0,C20))*(1-$K21))*Hypothèses!$B$10,0)),1)</f>
        <v>8.6999999999999993</v>
      </c>
      <c r="D21">
        <f>ROUND(IF(MOD($A21,12)=0,H21,(IF(21=4,0,D20))*(1-$K21)+IF((IF(21=4,0,D20))*(1-$K21)&lt;H21,(H21-(IF(21=4,0,D20))*(1-$K21))*Hypothèses!$B$10,0)),1)</f>
        <v>24.8</v>
      </c>
      <c r="E21">
        <f>ROUND(IF(MOD($A21,12)=0,I21,(IF(21=4,0,E20))*(1-$K21)+IF((IF(21=4,0,E20))*(1-$K21)&lt;I21,(I21-(IF(21=4,0,E20))*(1-$K21))*Hypothèses!$B$10,0)),1)</f>
        <v>0.5</v>
      </c>
      <c r="F21">
        <f>ROUND(IF(MOD($A21,12)=0,J21,(IF(21=4,0,F20))*(1-$K21)+IF((IF(21=4,0,F20))*(1-$K21)&lt;J21,(J21-(IF(21=4,0,F20))*(1-$K21))*Hypothèses!$B$10,0)),1)</f>
        <v>0.5</v>
      </c>
      <c r="G21">
        <f>(IF(B21=1,0,IF(B21=2,Hypothèses!$B$26,IF(B21=3,Hypothèses!$C$26,Hypothèses!$D$26)))+(IF(B21=1,Hypothèses!$B$26,IF(B21=2,Hypothèses!$C$26,IF(B21=3,Hypothèses!$D$26,Hypothèses!$D$26)))-(IF(B21=1,0,IF(B21=2,Hypothèses!$B$26,IF(B21=3,Hypothèses!$C$26,Hypothèses!$D$26)))))*((A21)-INT((A21-1)/12)*12)/12)*$B$1</f>
        <v>9.75</v>
      </c>
      <c r="H21">
        <f>(IF(B21=1,0,IF(B21=2,Hypothèses!$B$27,IF(B21=3,Hypothèses!$C$27,Hypothèses!$D$27)))+(IF(B21=1,Hypothèses!$B$27,IF(B21=2,Hypothèses!$C$27,IF(B21=3,Hypothèses!$D$27,Hypothèses!$D$27)))-(IF(B21=1,0,IF(B21=2,Hypothèses!$B$27,IF(B21=3,Hypothèses!$C$27,Hypothèses!$D$27)))))*((A21)-INT((A21-1)/12)*12)/12)*$B$1</f>
        <v>29.25</v>
      </c>
      <c r="I21">
        <f>(IF(B21=1,0,IF(B21=2,Hypothèses!$B$28,IF(B21=3,Hypothèses!$C$28,Hypothèses!$D$28)))+(IF(B21=1,Hypothèses!$B$28,IF(B21=2,Hypothèses!$C$28,IF(B21=3,Hypothèses!$D$28,Hypothèses!$D$28)))-(IF(B21=1,0,IF(B21=2,Hypothèses!$B$28,IF(B21=3,Hypothèses!$C$28,Hypothèses!$D$28)))))*((A21)-INT((A21-1)/12)*12)/12)*$B$1</f>
        <v>0.65</v>
      </c>
      <c r="J21">
        <f>(IF(B21=1,0,IF(B21=2,Hypothèses!$B$29,IF(B21=3,Hypothèses!$C$29,Hypothèses!$D$29)))+(IF(B21=1,Hypothèses!$B$29,IF(B21=2,Hypothèses!$C$29,IF(B21=3,Hypothèses!$D$29,Hypothèses!$D$29)))-(IF(B21=1,0,IF(B21=2,Hypothèses!$B$29,IF(B21=3,Hypothèses!$C$29,Hypothèses!$D$29)))))*((A21)-INT((A21-1)/12)*12)/12)*$B$1</f>
        <v>0.65</v>
      </c>
      <c r="K21">
        <f>IF(A21&lt;Hypothèses!$B$7,0,Hypothèses!$B$8*(1-Hypothèses!$B$9)^(A21-Hypothèses!$B$7))</f>
        <v>1.937102445000001E-2</v>
      </c>
      <c r="L21">
        <f t="shared" si="1"/>
        <v>34.5</v>
      </c>
      <c r="M21">
        <f>(C21*Hypothèses!$B$11+D21*Hypothèses!$B$12+E21*Hypothèses!$B$13+F21*Hypothèses!$B$14)*(IF(B21=1,Hypothèses!$B$20,IF(B21=2,Hypothèses!$B$21,Hypothèses!$B$22))+(1-(IF(B21=1,Hypothèses!$B$20,IF(B21=2,Hypothèses!$B$21,Hypothèses!$B$22))))*11/12)</f>
        <v>4996.75</v>
      </c>
      <c r="N21">
        <f>L21*IF(B21=1,Hypothèses!$C$20,IF(B21=2,Hypothèses!$C$21,Hypothèses!$C$22))*IF(B21=1,Hypothèses!$D$20,IF(B21=2,Hypothèses!$D$21,Hypothèses!$D$22))</f>
        <v>86.25</v>
      </c>
      <c r="O21">
        <f>IF(A21=18,IF($B$2&gt;=1,Hypothèses!$B$33,0),IF(AND(OR(A21=30,A21=34),$D$2&gt;=1),Hypothèses!$B$34*MIN(1,$D$2/3),0))</f>
        <v>15000</v>
      </c>
      <c r="P21">
        <f t="shared" si="2"/>
        <v>20083</v>
      </c>
      <c r="Q21">
        <f>P21/(1+Hypothèses!$B$6)</f>
        <v>16735.833333333336</v>
      </c>
      <c r="R21">
        <f>Hypothèses!$B$3*(1+Hypothèses!$B$4)^INT((A21-1)/3)</f>
        <v>1005.6785937499997</v>
      </c>
      <c r="S21">
        <f t="shared" si="3"/>
        <v>4</v>
      </c>
      <c r="T21">
        <f>S21*Hypothèses!$B$17</f>
        <v>18000</v>
      </c>
      <c r="U21">
        <f>Q21*Hypothèses!$B$5</f>
        <v>167.35833333333335</v>
      </c>
      <c r="V21">
        <f t="shared" si="4"/>
        <v>-2437.2035937499968</v>
      </c>
      <c r="W21">
        <f t="shared" si="5"/>
        <v>-212436.89203125</v>
      </c>
    </row>
    <row r="22" spans="1:23" x14ac:dyDescent="0.25">
      <c r="A22">
        <v>19</v>
      </c>
      <c r="B22">
        <f t="shared" si="0"/>
        <v>2</v>
      </c>
      <c r="C22">
        <f>ROUND(IF(MOD($A22,12)=0,G22,(IF(22=4,0,C21))*(1-$K22)+IF((IF(22=4,0,C21))*(1-$K22)&lt;G22,(G22-(IF(22=4,0,C21))*(1-$K22))*Hypothèses!$B$10,0)),1)</f>
        <v>9.1999999999999993</v>
      </c>
      <c r="D22">
        <f>ROUND(IF(MOD($A22,12)=0,H22,(IF(22=4,0,D21))*(1-$K22)+IF((IF(22=4,0,D21))*(1-$K22)&lt;H22,(H22-(IF(22=4,0,D21))*(1-$K22))*Hypothèses!$B$10,0)),1)</f>
        <v>27.4</v>
      </c>
      <c r="E22">
        <f>ROUND(IF(MOD($A22,12)=0,I22,(IF(22=4,0,E21))*(1-$K22)+IF((IF(22=4,0,E21))*(1-$K22)&lt;I22,(I22-(IF(22=4,0,E21))*(1-$K22))*Hypothèses!$B$10,0)),1)</f>
        <v>0.6</v>
      </c>
      <c r="F22">
        <f>ROUND(IF(MOD($A22,12)=0,J22,(IF(22=4,0,F21))*(1-$K22)+IF((IF(22=4,0,F21))*(1-$K22)&lt;J22,(J22-(IF(22=4,0,F21))*(1-$K22))*Hypothèses!$B$10,0)),1)</f>
        <v>0.6</v>
      </c>
      <c r="G22">
        <f>(IF(B22=1,0,IF(B22=2,Hypothèses!$B$26,IF(B22=3,Hypothèses!$C$26,Hypothèses!$D$26)))+(IF(B22=1,Hypothèses!$B$26,IF(B22=2,Hypothèses!$C$26,IF(B22=3,Hypothèses!$D$26,Hypothèses!$D$26)))-(IF(B22=1,0,IF(B22=2,Hypothèses!$B$26,IF(B22=3,Hypothèses!$C$26,Hypothèses!$D$26)))))*((A22)-INT((A22-1)/12)*12)/12)*$B$1</f>
        <v>10.291666666666666</v>
      </c>
      <c r="H22">
        <f>(IF(B22=1,0,IF(B22=2,Hypothèses!$B$27,IF(B22=3,Hypothèses!$C$27,Hypothèses!$D$27)))+(IF(B22=1,Hypothèses!$B$27,IF(B22=2,Hypothèses!$C$27,IF(B22=3,Hypothèses!$D$27,Hypothèses!$D$27)))-(IF(B22=1,0,IF(B22=2,Hypothèses!$B$27,IF(B22=3,Hypothèses!$C$27,Hypothèses!$D$27)))))*((A22)-INT((A22-1)/12)*12)/12)*$B$1</f>
        <v>31.958333333333339</v>
      </c>
      <c r="I22">
        <f>(IF(B22=1,0,IF(B22=2,Hypothèses!$B$28,IF(B22=3,Hypothèses!$C$28,Hypothèses!$D$28)))+(IF(B22=1,Hypothèses!$B$28,IF(B22=2,Hypothèses!$C$28,IF(B22=3,Hypothèses!$D$28,Hypothèses!$D$28)))-(IF(B22=1,0,IF(B22=2,Hypothèses!$B$28,IF(B22=3,Hypothèses!$C$28,Hypothèses!$D$28)))))*((A22)-INT((A22-1)/12)*12)/12)*$B$1</f>
        <v>0.75833333333333341</v>
      </c>
      <c r="J22">
        <f>(IF(B22=1,0,IF(B22=2,Hypothèses!$B$29,IF(B22=3,Hypothèses!$C$29,Hypothèses!$D$29)))+(IF(B22=1,Hypothèses!$B$29,IF(B22=2,Hypothèses!$C$29,IF(B22=3,Hypothèses!$D$29,Hypothèses!$D$29)))-(IF(B22=1,0,IF(B22=2,Hypothèses!$B$29,IF(B22=3,Hypothèses!$C$29,Hypothèses!$D$29)))))*((A22)-INT((A22-1)/12)*12)/12)*$B$1</f>
        <v>0.75833333333333341</v>
      </c>
      <c r="K22">
        <f>IF(A22&lt;Hypothèses!$B$7,0,Hypothèses!$B$8*(1-Hypothèses!$B$9)^(A22-Hypothèses!$B$7))</f>
        <v>1.7433922005000008E-2</v>
      </c>
      <c r="L22">
        <f t="shared" si="1"/>
        <v>37.799999999999997</v>
      </c>
      <c r="M22">
        <f>(C22*Hypothèses!$B$11+D22*Hypothèses!$B$12+E22*Hypothèses!$B$13+F22*Hypothèses!$B$14)*(IF(B22=1,Hypothèses!$B$20,IF(B22=2,Hypothèses!$B$21,Hypothèses!$B$22))+(1-(IF(B22=1,Hypothèses!$B$20,IF(B22=2,Hypothèses!$B$21,Hypothèses!$B$22))))*11/12)</f>
        <v>5553.3499999999985</v>
      </c>
      <c r="N22">
        <f>L22*IF(B22=1,Hypothèses!$C$20,IF(B22=2,Hypothèses!$C$21,Hypothèses!$C$22))*IF(B22=1,Hypothèses!$D$20,IF(B22=2,Hypothèses!$D$21,Hypothèses!$D$22))</f>
        <v>94.5</v>
      </c>
      <c r="O22">
        <f>IF(A22=18,IF($B$2&gt;=1,Hypothèses!$B$33,0),IF(AND(OR(A22=30,A22=34),$D$2&gt;=1),Hypothèses!$B$34*MIN(1,$D$2/3),0))</f>
        <v>0</v>
      </c>
      <c r="P22">
        <f t="shared" si="2"/>
        <v>5647.8499999999985</v>
      </c>
      <c r="Q22">
        <f>P22/(1+Hypothèses!$B$6)</f>
        <v>4706.5416666666661</v>
      </c>
      <c r="R22">
        <f>Hypothèses!$B$3*(1+Hypothèses!$B$4)^INT((A22-1)/3)</f>
        <v>1156.5303828124995</v>
      </c>
      <c r="S22">
        <f t="shared" si="3"/>
        <v>5</v>
      </c>
      <c r="T22">
        <f>S22*Hypothèses!$B$17</f>
        <v>22500</v>
      </c>
      <c r="U22">
        <f>Q22*Hypothèses!$B$5</f>
        <v>47.065416666666664</v>
      </c>
      <c r="V22">
        <f t="shared" si="4"/>
        <v>-18997.0541328125</v>
      </c>
      <c r="W22">
        <f t="shared" si="5"/>
        <v>-231433.94616406251</v>
      </c>
    </row>
    <row r="23" spans="1:23" x14ac:dyDescent="0.25">
      <c r="A23">
        <v>20</v>
      </c>
      <c r="B23">
        <f t="shared" si="0"/>
        <v>2</v>
      </c>
      <c r="C23">
        <f>ROUND(IF(MOD($A23,12)=0,G23,(IF(23=4,0,C22))*(1-$K23)+IF((IF(23=4,0,C22))*(1-$K23)&lt;G23,(G23-(IF(23=4,0,C22))*(1-$K23))*Hypothèses!$B$10,0)),1)</f>
        <v>9.8000000000000007</v>
      </c>
      <c r="D23">
        <f>ROUND(IF(MOD($A23,12)=0,H23,(IF(23=4,0,D22))*(1-$K23)+IF((IF(23=4,0,D22))*(1-$K23)&lt;H23,(H23-(IF(23=4,0,D22))*(1-$K23))*Hypothèses!$B$10,0)),1)</f>
        <v>30</v>
      </c>
      <c r="E23">
        <f>ROUND(IF(MOD($A23,12)=0,I23,(IF(23=4,0,E22))*(1-$K23)+IF((IF(23=4,0,E22))*(1-$K23)&lt;I23,(I23-(IF(23=4,0,E22))*(1-$K23))*Hypothèses!$B$10,0)),1)</f>
        <v>0.7</v>
      </c>
      <c r="F23">
        <f>ROUND(IF(MOD($A23,12)=0,J23,(IF(23=4,0,F22))*(1-$K23)+IF((IF(23=4,0,F22))*(1-$K23)&lt;J23,(J23-(IF(23=4,0,F22))*(1-$K23))*Hypothèses!$B$10,0)),1)</f>
        <v>0.7</v>
      </c>
      <c r="G23">
        <f>(IF(B23=1,0,IF(B23=2,Hypothèses!$B$26,IF(B23=3,Hypothèses!$C$26,Hypothèses!$D$26)))+(IF(B23=1,Hypothèses!$B$26,IF(B23=2,Hypothèses!$C$26,IF(B23=3,Hypothèses!$D$26,Hypothèses!$D$26)))-(IF(B23=1,0,IF(B23=2,Hypothèses!$B$26,IF(B23=3,Hypothèses!$C$26,Hypothèses!$D$26)))))*((A23)-INT((A23-1)/12)*12)/12)*$B$1</f>
        <v>10.833333333333334</v>
      </c>
      <c r="H23">
        <f>(IF(B23=1,0,IF(B23=2,Hypothèses!$B$27,IF(B23=3,Hypothèses!$C$27,Hypothèses!$D$27)))+(IF(B23=1,Hypothèses!$B$27,IF(B23=2,Hypothèses!$C$27,IF(B23=3,Hypothèses!$D$27,Hypothèses!$D$27)))-(IF(B23=1,0,IF(B23=2,Hypothèses!$B$27,IF(B23=3,Hypothèses!$C$27,Hypothèses!$D$27)))))*((A23)-INT((A23-1)/12)*12)/12)*$B$1</f>
        <v>34.666666666666671</v>
      </c>
      <c r="I23">
        <f>(IF(B23=1,0,IF(B23=2,Hypothèses!$B$28,IF(B23=3,Hypothèses!$C$28,Hypothèses!$D$28)))+(IF(B23=1,Hypothèses!$B$28,IF(B23=2,Hypothèses!$C$28,IF(B23=3,Hypothèses!$D$28,Hypothèses!$D$28)))-(IF(B23=1,0,IF(B23=2,Hypothèses!$B$28,IF(B23=3,Hypothèses!$C$28,Hypothèses!$D$28)))))*((A23)-INT((A23-1)/12)*12)/12)*$B$1</f>
        <v>0.8666666666666667</v>
      </c>
      <c r="J23">
        <f>(IF(B23=1,0,IF(B23=2,Hypothèses!$B$29,IF(B23=3,Hypothèses!$C$29,Hypothèses!$D$29)))+(IF(B23=1,Hypothèses!$B$29,IF(B23=2,Hypothèses!$C$29,IF(B23=3,Hypothèses!$D$29,Hypothèses!$D$29)))-(IF(B23=1,0,IF(B23=2,Hypothèses!$B$29,IF(B23=3,Hypothèses!$C$29,Hypothèses!$D$29)))))*((A23)-INT((A23-1)/12)*12)/12)*$B$1</f>
        <v>0.8666666666666667</v>
      </c>
      <c r="K23">
        <f>IF(A23&lt;Hypothèses!$B$7,0,Hypothèses!$B$8*(1-Hypothèses!$B$9)^(A23-Hypothèses!$B$7))</f>
        <v>1.569052980450001E-2</v>
      </c>
      <c r="L23">
        <f t="shared" si="1"/>
        <v>41.2</v>
      </c>
      <c r="M23">
        <f>(C23*Hypothèses!$B$11+D23*Hypothèses!$B$12+E23*Hypothèses!$B$13+F23*Hypothèses!$B$14)*(IF(B23=1,Hypothèses!$B$20,IF(B23=2,Hypothèses!$B$21,Hypothèses!$B$22))+(1-(IF(B23=1,Hypothèses!$B$20,IF(B23=2,Hypothèses!$B$21,Hypothèses!$B$22))))*11/12)</f>
        <v>6118.4791666666661</v>
      </c>
      <c r="N23">
        <f>L23*IF(B23=1,Hypothèses!$C$20,IF(B23=2,Hypothèses!$C$21,Hypothèses!$C$22))*IF(B23=1,Hypothèses!$D$20,IF(B23=2,Hypothèses!$D$21,Hypothèses!$D$22))</f>
        <v>103</v>
      </c>
      <c r="O23">
        <f>IF(A23=18,IF($B$2&gt;=1,Hypothèses!$B$33,0),IF(AND(OR(A23=30,A23=34),$D$2&gt;=1),Hypothèses!$B$34*MIN(1,$D$2/3),0))</f>
        <v>0</v>
      </c>
      <c r="P23">
        <f t="shared" si="2"/>
        <v>6221.4791666666661</v>
      </c>
      <c r="Q23">
        <f>P23/(1+Hypothèses!$B$6)</f>
        <v>5184.5659722222217</v>
      </c>
      <c r="R23">
        <f>Hypothèses!$B$3*(1+Hypothèses!$B$4)^INT((A23-1)/3)</f>
        <v>1156.5303828124995</v>
      </c>
      <c r="S23">
        <f t="shared" si="3"/>
        <v>5</v>
      </c>
      <c r="T23">
        <f>S23*Hypothèses!$B$17</f>
        <v>22500</v>
      </c>
      <c r="U23">
        <f>Q23*Hypothèses!$B$5</f>
        <v>51.845659722222216</v>
      </c>
      <c r="V23">
        <f t="shared" si="4"/>
        <v>-18523.810070312498</v>
      </c>
      <c r="W23">
        <f t="shared" si="5"/>
        <v>-249957.756234375</v>
      </c>
    </row>
    <row r="24" spans="1:23" x14ac:dyDescent="0.25">
      <c r="A24">
        <v>21</v>
      </c>
      <c r="B24">
        <f t="shared" si="0"/>
        <v>2</v>
      </c>
      <c r="C24">
        <f>ROUND(IF(MOD($A24,12)=0,G24,(IF(24=4,0,C23))*(1-$K24)+IF((IF(24=4,0,C23))*(1-$K24)&lt;G24,(G24-(IF(24=4,0,C23))*(1-$K24))*Hypothèses!$B$10,0)),1)</f>
        <v>10.3</v>
      </c>
      <c r="D24">
        <f>ROUND(IF(MOD($A24,12)=0,H24,(IF(24=4,0,D23))*(1-$K24)+IF((IF(24=4,0,D23))*(1-$K24)&lt;H24,(H24-(IF(24=4,0,D23))*(1-$K24))*Hypothèses!$B$10,0)),1)</f>
        <v>32.700000000000003</v>
      </c>
      <c r="E24">
        <f>ROUND(IF(MOD($A24,12)=0,I24,(IF(24=4,0,E23))*(1-$K24)+IF((IF(24=4,0,E23))*(1-$K24)&lt;I24,(I24-(IF(24=4,0,E23))*(1-$K24))*Hypothèses!$B$10,0)),1)</f>
        <v>0.8</v>
      </c>
      <c r="F24">
        <f>ROUND(IF(MOD($A24,12)=0,J24,(IF(24=4,0,F23))*(1-$K24)+IF((IF(24=4,0,F23))*(1-$K24)&lt;J24,(J24-(IF(24=4,0,F23))*(1-$K24))*Hypothèses!$B$10,0)),1)</f>
        <v>0.8</v>
      </c>
      <c r="G24">
        <f>(IF(B24=1,0,IF(B24=2,Hypothèses!$B$26,IF(B24=3,Hypothèses!$C$26,Hypothèses!$D$26)))+(IF(B24=1,Hypothèses!$B$26,IF(B24=2,Hypothèses!$C$26,IF(B24=3,Hypothèses!$D$26,Hypothèses!$D$26)))-(IF(B24=1,0,IF(B24=2,Hypothèses!$B$26,IF(B24=3,Hypothèses!$C$26,Hypothèses!$D$26)))))*((A24)-INT((A24-1)/12)*12)/12)*$B$1</f>
        <v>11.375</v>
      </c>
      <c r="H24">
        <f>(IF(B24=1,0,IF(B24=2,Hypothèses!$B$27,IF(B24=3,Hypothèses!$C$27,Hypothèses!$D$27)))+(IF(B24=1,Hypothèses!$B$27,IF(B24=2,Hypothèses!$C$27,IF(B24=3,Hypothèses!$D$27,Hypothèses!$D$27)))-(IF(B24=1,0,IF(B24=2,Hypothèses!$B$27,IF(B24=3,Hypothèses!$C$27,Hypothèses!$D$27)))))*((A24)-INT((A24-1)/12)*12)/12)*$B$1</f>
        <v>37.375</v>
      </c>
      <c r="I24">
        <f>(IF(B24=1,0,IF(B24=2,Hypothèses!$B$28,IF(B24=3,Hypothèses!$C$28,Hypothèses!$D$28)))+(IF(B24=1,Hypothèses!$B$28,IF(B24=2,Hypothèses!$C$28,IF(B24=3,Hypothèses!$D$28,Hypothèses!$D$28)))-(IF(B24=1,0,IF(B24=2,Hypothèses!$B$28,IF(B24=3,Hypothèses!$C$28,Hypothèses!$D$28)))))*((A24)-INT((A24-1)/12)*12)/12)*$B$1</f>
        <v>0.97500000000000009</v>
      </c>
      <c r="J24">
        <f>(IF(B24=1,0,IF(B24=2,Hypothèses!$B$29,IF(B24=3,Hypothèses!$C$29,Hypothèses!$D$29)))+(IF(B24=1,Hypothèses!$B$29,IF(B24=2,Hypothèses!$C$29,IF(B24=3,Hypothèses!$D$29,Hypothèses!$D$29)))-(IF(B24=1,0,IF(B24=2,Hypothèses!$B$29,IF(B24=3,Hypothèses!$C$29,Hypothèses!$D$29)))))*((A24)-INT((A24-1)/12)*12)/12)*$B$1</f>
        <v>0.97500000000000009</v>
      </c>
      <c r="K24">
        <f>IF(A24&lt;Hypothèses!$B$7,0,Hypothèses!$B$8*(1-Hypothèses!$B$9)^(A24-Hypothèses!$B$7))</f>
        <v>1.412147682405001E-2</v>
      </c>
      <c r="L24">
        <f t="shared" si="1"/>
        <v>44.599999999999994</v>
      </c>
      <c r="M24">
        <f>(C24*Hypothèses!$B$11+D24*Hypothèses!$B$12+E24*Hypothèses!$B$13+F24*Hypothèses!$B$14)*(IF(B24=1,Hypothèses!$B$20,IF(B24=2,Hypothèses!$B$21,Hypothèses!$B$22))+(1-(IF(B24=1,Hypothèses!$B$20,IF(B24=2,Hypothèses!$B$21,Hypothèses!$B$22))))*11/12)</f>
        <v>6689.3583333333327</v>
      </c>
      <c r="N24">
        <f>L24*IF(B24=1,Hypothèses!$C$20,IF(B24=2,Hypothèses!$C$21,Hypothèses!$C$22))*IF(B24=1,Hypothèses!$D$20,IF(B24=2,Hypothèses!$D$21,Hypothèses!$D$22))</f>
        <v>111.5</v>
      </c>
      <c r="O24">
        <f>IF(A24=18,IF($B$2&gt;=1,Hypothèses!$B$33,0),IF(AND(OR(A24=30,A24=34),$D$2&gt;=1),Hypothèses!$B$34*MIN(1,$D$2/3),0))</f>
        <v>0</v>
      </c>
      <c r="P24">
        <f t="shared" si="2"/>
        <v>6800.8583333333327</v>
      </c>
      <c r="Q24">
        <f>P24/(1+Hypothèses!$B$6)</f>
        <v>5667.3819444444443</v>
      </c>
      <c r="R24">
        <f>Hypothèses!$B$3*(1+Hypothèses!$B$4)^INT((A24-1)/3)</f>
        <v>1156.5303828124995</v>
      </c>
      <c r="S24">
        <f t="shared" si="3"/>
        <v>5</v>
      </c>
      <c r="T24">
        <f>S24*Hypothèses!$B$17</f>
        <v>22500</v>
      </c>
      <c r="U24">
        <f>Q24*Hypothèses!$B$5</f>
        <v>56.673819444444447</v>
      </c>
      <c r="V24">
        <f t="shared" si="4"/>
        <v>-18045.822257812499</v>
      </c>
      <c r="W24">
        <f t="shared" si="5"/>
        <v>-268003.57849218749</v>
      </c>
    </row>
    <row r="25" spans="1:23" x14ac:dyDescent="0.25">
      <c r="A25">
        <v>22</v>
      </c>
      <c r="B25">
        <f t="shared" si="0"/>
        <v>2</v>
      </c>
      <c r="C25">
        <f>ROUND(IF(MOD($A25,12)=0,G25,(IF(25=4,0,C24))*(1-$K25)+IF((IF(25=4,0,C24))*(1-$K25)&lt;G25,(G25-(IF(25=4,0,C24))*(1-$K25))*Hypothèses!$B$10,0)),1)</f>
        <v>10.9</v>
      </c>
      <c r="D25">
        <f>ROUND(IF(MOD($A25,12)=0,H25,(IF(25=4,0,D24))*(1-$K25)+IF((IF(25=4,0,D24))*(1-$K25)&lt;H25,(H25-(IF(25=4,0,D24))*(1-$K25))*Hypothèses!$B$10,0)),1)</f>
        <v>35.4</v>
      </c>
      <c r="E25">
        <f>ROUND(IF(MOD($A25,12)=0,I25,(IF(25=4,0,E24))*(1-$K25)+IF((IF(25=4,0,E24))*(1-$K25)&lt;I25,(I25-(IF(25=4,0,E24))*(1-$K25))*Hypothèses!$B$10,0)),1)</f>
        <v>0.9</v>
      </c>
      <c r="F25">
        <f>ROUND(IF(MOD($A25,12)=0,J25,(IF(25=4,0,F24))*(1-$K25)+IF((IF(25=4,0,F24))*(1-$K25)&lt;J25,(J25-(IF(25=4,0,F24))*(1-$K25))*Hypothèses!$B$10,0)),1)</f>
        <v>0.9</v>
      </c>
      <c r="G25">
        <f>(IF(B25=1,0,IF(B25=2,Hypothèses!$B$26,IF(B25=3,Hypothèses!$C$26,Hypothèses!$D$26)))+(IF(B25=1,Hypothèses!$B$26,IF(B25=2,Hypothèses!$C$26,IF(B25=3,Hypothèses!$D$26,Hypothèses!$D$26)))-(IF(B25=1,0,IF(B25=2,Hypothèses!$B$26,IF(B25=3,Hypothèses!$C$26,Hypothèses!$D$26)))))*((A25)-INT((A25-1)/12)*12)/12)*$B$1</f>
        <v>11.916666666666668</v>
      </c>
      <c r="H25">
        <f>(IF(B25=1,0,IF(B25=2,Hypothèses!$B$27,IF(B25=3,Hypothèses!$C$27,Hypothèses!$D$27)))+(IF(B25=1,Hypothèses!$B$27,IF(B25=2,Hypothèses!$C$27,IF(B25=3,Hypothèses!$D$27,Hypothèses!$D$27)))-(IF(B25=1,0,IF(B25=2,Hypothèses!$B$27,IF(B25=3,Hypothèses!$C$27,Hypothèses!$D$27)))))*((A25)-INT((A25-1)/12)*12)/12)*$B$1</f>
        <v>40.083333333333336</v>
      </c>
      <c r="I25">
        <f>(IF(B25=1,0,IF(B25=2,Hypothèses!$B$28,IF(B25=3,Hypothèses!$C$28,Hypothèses!$D$28)))+(IF(B25=1,Hypothèses!$B$28,IF(B25=2,Hypothèses!$C$28,IF(B25=3,Hypothèses!$D$28,Hypothèses!$D$28)))-(IF(B25=1,0,IF(B25=2,Hypothèses!$B$28,IF(B25=3,Hypothèses!$C$28,Hypothèses!$D$28)))))*((A25)-INT((A25-1)/12)*12)/12)*$B$1</f>
        <v>1.0833333333333335</v>
      </c>
      <c r="J25">
        <f>(IF(B25=1,0,IF(B25=2,Hypothèses!$B$29,IF(B25=3,Hypothèses!$C$29,Hypothèses!$D$29)))+(IF(B25=1,Hypothèses!$B$29,IF(B25=2,Hypothèses!$C$29,IF(B25=3,Hypothèses!$D$29,Hypothèses!$D$29)))-(IF(B25=1,0,IF(B25=2,Hypothèses!$B$29,IF(B25=3,Hypothèses!$C$29,Hypothèses!$D$29)))))*((A25)-INT((A25-1)/12)*12)/12)*$B$1</f>
        <v>1.0833333333333335</v>
      </c>
      <c r="K25">
        <f>IF(A25&lt;Hypothèses!$B$7,0,Hypothèses!$B$8*(1-Hypothèses!$B$9)^(A25-Hypothèses!$B$7))</f>
        <v>1.270932914164501E-2</v>
      </c>
      <c r="L25">
        <f t="shared" si="1"/>
        <v>48.099999999999994</v>
      </c>
      <c r="M25">
        <f>(C25*Hypothèses!$B$11+D25*Hypothèses!$B$12+E25*Hypothèses!$B$13+F25*Hypothèses!$B$14)*(IF(B25=1,Hypothèses!$B$20,IF(B25=2,Hypothèses!$B$21,Hypothèses!$B$22))+(1-(IF(B25=1,Hypothèses!$B$20,IF(B25=2,Hypothèses!$B$21,Hypothèses!$B$22))))*11/12)</f>
        <v>7268.7666666666664</v>
      </c>
      <c r="N25">
        <f>L25*IF(B25=1,Hypothèses!$C$20,IF(B25=2,Hypothèses!$C$21,Hypothèses!$C$22))*IF(B25=1,Hypothèses!$D$20,IF(B25=2,Hypothèses!$D$21,Hypothèses!$D$22))</f>
        <v>120.24999999999999</v>
      </c>
      <c r="O25">
        <f>IF(A25=18,IF($B$2&gt;=1,Hypothèses!$B$33,0),IF(AND(OR(A25=30,A25=34),$D$2&gt;=1),Hypothèses!$B$34*MIN(1,$D$2/3),0))</f>
        <v>0</v>
      </c>
      <c r="P25">
        <f t="shared" si="2"/>
        <v>7389.0166666666664</v>
      </c>
      <c r="Q25">
        <f>P25/(1+Hypothèses!$B$6)</f>
        <v>6157.5138888888887</v>
      </c>
      <c r="R25">
        <f>Hypothèses!$B$3*(1+Hypothèses!$B$4)^INT((A25-1)/3)</f>
        <v>1330.0099402343742</v>
      </c>
      <c r="S25">
        <f t="shared" si="3"/>
        <v>5</v>
      </c>
      <c r="T25">
        <f>S25*Hypothèses!$B$17</f>
        <v>22500</v>
      </c>
      <c r="U25">
        <f>Q25*Hypothèses!$B$5</f>
        <v>61.575138888888887</v>
      </c>
      <c r="V25">
        <f t="shared" si="4"/>
        <v>-17734.071190234376</v>
      </c>
      <c r="W25">
        <f t="shared" si="5"/>
        <v>-285737.64968242188</v>
      </c>
    </row>
    <row r="26" spans="1:23" x14ac:dyDescent="0.25">
      <c r="A26">
        <v>23</v>
      </c>
      <c r="B26">
        <f t="shared" si="0"/>
        <v>2</v>
      </c>
      <c r="C26">
        <f>ROUND(IF(MOD($A26,12)=0,G26,(IF(26=4,0,C25))*(1-$K26)+IF((IF(26=4,0,C25))*(1-$K26)&lt;G26,(G26-(IF(26=4,0,C25))*(1-$K26))*Hypothèses!$B$10,0)),1)</f>
        <v>11.4</v>
      </c>
      <c r="D26">
        <f>ROUND(IF(MOD($A26,12)=0,H26,(IF(26=4,0,D25))*(1-$K26)+IF((IF(26=4,0,D25))*(1-$K26)&lt;H26,(H26-(IF(26=4,0,D25))*(1-$K26))*Hypothèses!$B$10,0)),1)</f>
        <v>38.1</v>
      </c>
      <c r="E26">
        <f>ROUND(IF(MOD($A26,12)=0,I26,(IF(26=4,0,E25))*(1-$K26)+IF((IF(26=4,0,E25))*(1-$K26)&lt;I26,(I26-(IF(26=4,0,E25))*(1-$K26))*Hypothèses!$B$10,0)),1)</f>
        <v>1</v>
      </c>
      <c r="F26">
        <f>ROUND(IF(MOD($A26,12)=0,J26,(IF(26=4,0,F25))*(1-$K26)+IF((IF(26=4,0,F25))*(1-$K26)&lt;J26,(J26-(IF(26=4,0,F25))*(1-$K26))*Hypothèses!$B$10,0)),1)</f>
        <v>1</v>
      </c>
      <c r="G26">
        <f>(IF(B26=1,0,IF(B26=2,Hypothèses!$B$26,IF(B26=3,Hypothèses!$C$26,Hypothèses!$D$26)))+(IF(B26=1,Hypothèses!$B$26,IF(B26=2,Hypothèses!$C$26,IF(B26=3,Hypothèses!$D$26,Hypothèses!$D$26)))-(IF(B26=1,0,IF(B26=2,Hypothèses!$B$26,IF(B26=3,Hypothèses!$C$26,Hypothèses!$D$26)))))*((A26)-INT((A26-1)/12)*12)/12)*$B$1</f>
        <v>12.458333333333332</v>
      </c>
      <c r="H26">
        <f>(IF(B26=1,0,IF(B26=2,Hypothèses!$B$27,IF(B26=3,Hypothèses!$C$27,Hypothèses!$D$27)))+(IF(B26=1,Hypothèses!$B$27,IF(B26=2,Hypothèses!$C$27,IF(B26=3,Hypothèses!$D$27,Hypothèses!$D$27)))-(IF(B26=1,0,IF(B26=2,Hypothèses!$B$27,IF(B26=3,Hypothèses!$C$27,Hypothèses!$D$27)))))*((A26)-INT((A26-1)/12)*12)/12)*$B$1</f>
        <v>42.791666666666671</v>
      </c>
      <c r="I26">
        <f>(IF(B26=1,0,IF(B26=2,Hypothèses!$B$28,IF(B26=3,Hypothèses!$C$28,Hypothèses!$D$28)))+(IF(B26=1,Hypothèses!$B$28,IF(B26=2,Hypothèses!$C$28,IF(B26=3,Hypothèses!$D$28,Hypothèses!$D$28)))-(IF(B26=1,0,IF(B26=2,Hypothèses!$B$28,IF(B26=3,Hypothèses!$C$28,Hypothèses!$D$28)))))*((A26)-INT((A26-1)/12)*12)/12)*$B$1</f>
        <v>1.1916666666666667</v>
      </c>
      <c r="J26">
        <f>(IF(B26=1,0,IF(B26=2,Hypothèses!$B$29,IF(B26=3,Hypothèses!$C$29,Hypothèses!$D$29)))+(IF(B26=1,Hypothèses!$B$29,IF(B26=2,Hypothèses!$C$29,IF(B26=3,Hypothèses!$D$29,Hypothèses!$D$29)))-(IF(B26=1,0,IF(B26=2,Hypothèses!$B$29,IF(B26=3,Hypothèses!$C$29,Hypothèses!$D$29)))))*((A26)-INT((A26-1)/12)*12)/12)*$B$1</f>
        <v>1.1916666666666667</v>
      </c>
      <c r="K26">
        <f>IF(A26&lt;Hypothèses!$B$7,0,Hypothèses!$B$8*(1-Hypothèses!$B$9)^(A26-Hypothèses!$B$7))</f>
        <v>1.1438396227480508E-2</v>
      </c>
      <c r="L26">
        <f t="shared" si="1"/>
        <v>51.5</v>
      </c>
      <c r="M26">
        <f>(C26*Hypothèses!$B$11+D26*Hypothèses!$B$12+E26*Hypothèses!$B$13+F26*Hypothèses!$B$14)*(IF(B26=1,Hypothèses!$B$20,IF(B26=2,Hypothèses!$B$21,Hypothèses!$B$22))+(1-(IF(B26=1,Hypothèses!$B$20,IF(B26=2,Hypothèses!$B$21,Hypothèses!$B$22))))*11/12)</f>
        <v>7839.6458333333339</v>
      </c>
      <c r="N26">
        <f>L26*IF(B26=1,Hypothèses!$C$20,IF(B26=2,Hypothèses!$C$21,Hypothèses!$C$22))*IF(B26=1,Hypothèses!$D$20,IF(B26=2,Hypothèses!$D$21,Hypothèses!$D$22))</f>
        <v>128.75</v>
      </c>
      <c r="O26">
        <f>IF(A26=18,IF($B$2&gt;=1,Hypothèses!$B$33,0),IF(AND(OR(A26=30,A26=34),$D$2&gt;=1),Hypothèses!$B$34*MIN(1,$D$2/3),0))</f>
        <v>0</v>
      </c>
      <c r="P26">
        <f t="shared" si="2"/>
        <v>7968.3958333333339</v>
      </c>
      <c r="Q26">
        <f>P26/(1+Hypothèses!$B$6)</f>
        <v>6640.3298611111122</v>
      </c>
      <c r="R26">
        <f>Hypothèses!$B$3*(1+Hypothèses!$B$4)^INT((A26-1)/3)</f>
        <v>1330.0099402343742</v>
      </c>
      <c r="S26">
        <f t="shared" si="3"/>
        <v>5</v>
      </c>
      <c r="T26">
        <f>S26*Hypothèses!$B$17</f>
        <v>22500</v>
      </c>
      <c r="U26">
        <f>Q26*Hypothèses!$B$5</f>
        <v>66.403298611111126</v>
      </c>
      <c r="V26">
        <f t="shared" si="4"/>
        <v>-17256.083377734372</v>
      </c>
      <c r="W26">
        <f t="shared" si="5"/>
        <v>-302993.73306015623</v>
      </c>
    </row>
    <row r="27" spans="1:23" x14ac:dyDescent="0.25">
      <c r="A27">
        <v>24</v>
      </c>
      <c r="B27">
        <f t="shared" si="0"/>
        <v>2</v>
      </c>
      <c r="C27">
        <f>ROUND(IF(MOD($A27,12)=0,G27,(IF(27=4,0,C26))*(1-$K27)+IF((IF(27=4,0,C26))*(1-$K27)&lt;G27,(G27-(IF(27=4,0,C26))*(1-$K27))*Hypothèses!$B$10,0)),1)</f>
        <v>13</v>
      </c>
      <c r="D27">
        <f>ROUND(IF(MOD($A27,12)=0,H27,(IF(27=4,0,D26))*(1-$K27)+IF((IF(27=4,0,D26))*(1-$K27)&lt;H27,(H27-(IF(27=4,0,D26))*(1-$K27))*Hypothèses!$B$10,0)),1)</f>
        <v>45.5</v>
      </c>
      <c r="E27">
        <f>ROUND(IF(MOD($A27,12)=0,I27,(IF(27=4,0,E26))*(1-$K27)+IF((IF(27=4,0,E26))*(1-$K27)&lt;I27,(I27-(IF(27=4,0,E26))*(1-$K27))*Hypothèses!$B$10,0)),1)</f>
        <v>1.3</v>
      </c>
      <c r="F27">
        <f>ROUND(IF(MOD($A27,12)=0,J27,(IF(27=4,0,F26))*(1-$K27)+IF((IF(27=4,0,F26))*(1-$K27)&lt;J27,(J27-(IF(27=4,0,F26))*(1-$K27))*Hypothèses!$B$10,0)),1)</f>
        <v>1.3</v>
      </c>
      <c r="G27">
        <f>(IF(B27=1,0,IF(B27=2,Hypothèses!$B$26,IF(B27=3,Hypothèses!$C$26,Hypothèses!$D$26)))+(IF(B27=1,Hypothèses!$B$26,IF(B27=2,Hypothèses!$C$26,IF(B27=3,Hypothèses!$D$26,Hypothèses!$D$26)))-(IF(B27=1,0,IF(B27=2,Hypothèses!$B$26,IF(B27=3,Hypothèses!$C$26,Hypothèses!$D$26)))))*((A27)-INT((A27-1)/12)*12)/12)*$B$1</f>
        <v>13</v>
      </c>
      <c r="H27">
        <f>(IF(B27=1,0,IF(B27=2,Hypothèses!$B$27,IF(B27=3,Hypothèses!$C$27,Hypothèses!$D$27)))+(IF(B27=1,Hypothèses!$B$27,IF(B27=2,Hypothèses!$C$27,IF(B27=3,Hypothèses!$D$27,Hypothèses!$D$27)))-(IF(B27=1,0,IF(B27=2,Hypothèses!$B$27,IF(B27=3,Hypothèses!$C$27,Hypothèses!$D$27)))))*((A27)-INT((A27-1)/12)*12)/12)*$B$1</f>
        <v>45.5</v>
      </c>
      <c r="I27">
        <f>(IF(B27=1,0,IF(B27=2,Hypothèses!$B$28,IF(B27=3,Hypothèses!$C$28,Hypothèses!$D$28)))+(IF(B27=1,Hypothèses!$B$28,IF(B27=2,Hypothèses!$C$28,IF(B27=3,Hypothèses!$D$28,Hypothèses!$D$28)))-(IF(B27=1,0,IF(B27=2,Hypothèses!$B$28,IF(B27=3,Hypothèses!$C$28,Hypothèses!$D$28)))))*((A27)-INT((A27-1)/12)*12)/12)*$B$1</f>
        <v>1.3</v>
      </c>
      <c r="J27">
        <f>(IF(B27=1,0,IF(B27=2,Hypothèses!$B$29,IF(B27=3,Hypothèses!$C$29,Hypothèses!$D$29)))+(IF(B27=1,Hypothèses!$B$29,IF(B27=2,Hypothèses!$C$29,IF(B27=3,Hypothèses!$D$29,Hypothèses!$D$29)))-(IF(B27=1,0,IF(B27=2,Hypothèses!$B$29,IF(B27=3,Hypothèses!$C$29,Hypothèses!$D$29)))))*((A27)-INT((A27-1)/12)*12)/12)*$B$1</f>
        <v>1.3</v>
      </c>
      <c r="K27">
        <f>IF(A27&lt;Hypothèses!$B$7,0,Hypothèses!$B$8*(1-Hypothèses!$B$9)^(A27-Hypothèses!$B$7))</f>
        <v>1.0294556604732457E-2</v>
      </c>
      <c r="L27">
        <f t="shared" si="1"/>
        <v>61.099999999999994</v>
      </c>
      <c r="M27">
        <f>(C27*Hypothèses!$B$11+D27*Hypothèses!$B$12+E27*Hypothèses!$B$13+F27*Hypothèses!$B$14)*(IF(B27=1,Hypothèses!$B$20,IF(B27=2,Hypothèses!$B$21,Hypothèses!$B$22))+(1-(IF(B27=1,Hypothèses!$B$20,IF(B27=2,Hypothèses!$B$21,Hypothèses!$B$22))))*11/12)</f>
        <v>9460.8583333333336</v>
      </c>
      <c r="N27">
        <f>L27*IF(B27=1,Hypothèses!$C$20,IF(B27=2,Hypothèses!$C$21,Hypothèses!$C$22))*IF(B27=1,Hypothèses!$D$20,IF(B27=2,Hypothèses!$D$21,Hypothèses!$D$22))</f>
        <v>152.75</v>
      </c>
      <c r="O27">
        <f>IF(A27=18,IF($B$2&gt;=1,Hypothèses!$B$33,0),IF(AND(OR(A27=30,A27=34),$D$2&gt;=1),Hypothèses!$B$34*MIN(1,$D$2/3),0))</f>
        <v>0</v>
      </c>
      <c r="P27">
        <f t="shared" si="2"/>
        <v>9613.6083333333336</v>
      </c>
      <c r="Q27">
        <f>P27/(1+Hypothèses!$B$6)</f>
        <v>8011.3402777777783</v>
      </c>
      <c r="R27">
        <f>Hypothèses!$B$3*(1+Hypothèses!$B$4)^INT((A27-1)/3)</f>
        <v>1330.0099402343742</v>
      </c>
      <c r="S27">
        <f t="shared" si="3"/>
        <v>5</v>
      </c>
      <c r="T27">
        <f>S27*Hypothèses!$B$17</f>
        <v>22500</v>
      </c>
      <c r="U27">
        <f>Q27*Hypothèses!$B$5</f>
        <v>80.113402777777779</v>
      </c>
      <c r="V27">
        <f t="shared" si="4"/>
        <v>-15898.783065234373</v>
      </c>
      <c r="W27">
        <f t="shared" si="5"/>
        <v>-318892.5161253906</v>
      </c>
    </row>
    <row r="28" spans="1:23" x14ac:dyDescent="0.25">
      <c r="A28">
        <v>25</v>
      </c>
      <c r="B28">
        <f t="shared" si="0"/>
        <v>3</v>
      </c>
      <c r="C28">
        <f>ROUND(IF(MOD($A28,12)=0,G28,(IF(28=4,0,C27))*(1-$K28)+IF((IF(28=4,0,C27))*(1-$K28)&lt;G28,(G28-(IF(28=4,0,C27))*(1-$K28))*Hypothèses!$B$10,0)),1)</f>
        <v>13.4</v>
      </c>
      <c r="D28">
        <f>ROUND(IF(MOD($A28,12)=0,H28,(IF(28=4,0,D27))*(1-$K28)+IF((IF(28=4,0,D27))*(1-$K28)&lt;H28,(H28-(IF(28=4,0,D27))*(1-$K28))*Hypothèses!$B$10,0)),1)</f>
        <v>46.8</v>
      </c>
      <c r="E28">
        <f>ROUND(IF(MOD($A28,12)=0,I28,(IF(28=4,0,E27))*(1-$K28)+IF((IF(28=4,0,E27))*(1-$K28)&lt;I28,(I28-(IF(28=4,0,E27))*(1-$K28))*Hypothèses!$B$10,0)),1)</f>
        <v>1.4</v>
      </c>
      <c r="F28">
        <f>ROUND(IF(MOD($A28,12)=0,J28,(IF(28=4,0,F27))*(1-$K28)+IF((IF(28=4,0,F27))*(1-$K28)&lt;J28,(J28-(IF(28=4,0,F27))*(1-$K28))*Hypothèses!$B$10,0)),1)</f>
        <v>1.3</v>
      </c>
      <c r="G28">
        <f>(IF(B28=1,0,IF(B28=2,Hypothèses!$B$26,IF(B28=3,Hypothèses!$C$26,Hypothèses!$D$26)))+(IF(B28=1,Hypothèses!$B$26,IF(B28=2,Hypothèses!$C$26,IF(B28=3,Hypothèses!$D$26,Hypothèses!$D$26)))-(IF(B28=1,0,IF(B28=2,Hypothèses!$B$26,IF(B28=3,Hypothèses!$C$26,Hypothèses!$D$26)))))*((A28)-INT((A28-1)/12)*12)/12)*$B$1</f>
        <v>14.083333333333334</v>
      </c>
      <c r="H28">
        <f>(IF(B28=1,0,IF(B28=2,Hypothèses!$B$27,IF(B28=3,Hypothèses!$C$27,Hypothèses!$D$27)))+(IF(B28=1,Hypothèses!$B$27,IF(B28=2,Hypothèses!$C$27,IF(B28=3,Hypothèses!$D$27,Hypothèses!$D$27)))-(IF(B28=1,0,IF(B28=2,Hypothèses!$B$27,IF(B28=3,Hypothèses!$C$27,Hypothèses!$D$27)))))*((A28)-INT((A28-1)/12)*12)/12)*$B$1</f>
        <v>49.291666666666664</v>
      </c>
      <c r="I28">
        <f>(IF(B28=1,0,IF(B28=2,Hypothèses!$B$28,IF(B28=3,Hypothèses!$C$28,Hypothèses!$D$28)))+(IF(B28=1,Hypothèses!$B$28,IF(B28=2,Hypothèses!$C$28,IF(B28=3,Hypothèses!$D$28,Hypothèses!$D$28)))-(IF(B28=1,0,IF(B28=2,Hypothèses!$B$28,IF(B28=3,Hypothèses!$C$28,Hypothèses!$D$28)))))*((A28)-INT((A28-1)/12)*12)/12)*$B$1</f>
        <v>1.5166666666666668</v>
      </c>
      <c r="J28">
        <f>(IF(B28=1,0,IF(B28=2,Hypothèses!$B$29,IF(B28=3,Hypothèses!$C$29,Hypothèses!$D$29)))+(IF(B28=1,Hypothèses!$B$29,IF(B28=2,Hypothèses!$C$29,IF(B28=3,Hypothèses!$D$29,Hypothèses!$D$29)))-(IF(B28=1,0,IF(B28=2,Hypothèses!$B$29,IF(B28=3,Hypothèses!$C$29,Hypothèses!$D$29)))))*((A28)-INT((A28-1)/12)*12)/12)*$B$1</f>
        <v>1.4083333333333332</v>
      </c>
      <c r="K28">
        <f>IF(A28&lt;Hypothèses!$B$7,0,Hypothèses!$B$8*(1-Hypothèses!$B$9)^(A28-Hypothèses!$B$7))</f>
        <v>9.2651009442592126E-3</v>
      </c>
      <c r="L28">
        <f t="shared" si="1"/>
        <v>62.899999999999991</v>
      </c>
      <c r="M28">
        <f>(C28*Hypothèses!$B$11+D28*Hypothèses!$B$12+E28*Hypothèses!$B$13+F28*Hypothèses!$B$14)*(IF(B28=1,Hypothèses!$B$20,IF(B28=2,Hypothèses!$B$21,Hypothèses!$B$22))+(1-(IF(B28=1,Hypothèses!$B$20,IF(B28=2,Hypothèses!$B$21,Hypothèses!$B$22))))*11/12)</f>
        <v>9643.83</v>
      </c>
      <c r="N28">
        <f>L28*IF(B28=1,Hypothèses!$C$20,IF(B28=2,Hypothèses!$C$21,Hypothèses!$C$22))*IF(B28=1,Hypothèses!$D$20,IF(B28=2,Hypothèses!$D$21,Hypothèses!$D$22))</f>
        <v>226.43999999999994</v>
      </c>
      <c r="O28">
        <f>IF(A28=18,IF($B$2&gt;=1,Hypothèses!$B$33,0),IF(AND(OR(A28=30,A28=34),$D$2&gt;=1),Hypothèses!$B$34*MIN(1,$D$2/3),0))</f>
        <v>0</v>
      </c>
      <c r="P28">
        <f t="shared" si="2"/>
        <v>9870.27</v>
      </c>
      <c r="Q28">
        <f>P28/(1+Hypothèses!$B$6)</f>
        <v>8225.2250000000004</v>
      </c>
      <c r="R28">
        <f>Hypothèses!$B$3*(1+Hypothèses!$B$4)^INT((A28-1)/3)</f>
        <v>1529.5114312695302</v>
      </c>
      <c r="S28">
        <f t="shared" si="3"/>
        <v>5</v>
      </c>
      <c r="T28">
        <f>S28*Hypothèses!$B$17</f>
        <v>22500</v>
      </c>
      <c r="U28">
        <f>Q28*Hypothèses!$B$5</f>
        <v>82.252250000000004</v>
      </c>
      <c r="V28">
        <f t="shared" si="4"/>
        <v>-15886.538681269531</v>
      </c>
      <c r="W28">
        <f t="shared" si="5"/>
        <v>-334779.0548066601</v>
      </c>
    </row>
    <row r="29" spans="1:23" x14ac:dyDescent="0.25">
      <c r="A29">
        <v>26</v>
      </c>
      <c r="B29">
        <f t="shared" si="0"/>
        <v>3</v>
      </c>
      <c r="C29">
        <f>ROUND(IF(MOD($A29,12)=0,G29,(IF(29=4,0,C28))*(1-$K29)+IF((IF(29=4,0,C28))*(1-$K29)&lt;G29,(G29-(IF(29=4,0,C28))*(1-$K29))*Hypothèses!$B$10,0)),1)</f>
        <v>14</v>
      </c>
      <c r="D29">
        <f>ROUND(IF(MOD($A29,12)=0,H29,(IF(29=4,0,D28))*(1-$K29)+IF((IF(29=4,0,D28))*(1-$K29)&lt;H29,(H29-(IF(29=4,0,D28))*(1-$K29))*Hypothèses!$B$10,0)),1)</f>
        <v>49.1</v>
      </c>
      <c r="E29">
        <f>ROUND(IF(MOD($A29,12)=0,I29,(IF(29=4,0,E28))*(1-$K29)+IF((IF(29=4,0,E28))*(1-$K29)&lt;I29,(I29-(IF(29=4,0,E28))*(1-$K29))*Hypothèses!$B$10,0)),1)</f>
        <v>1.5</v>
      </c>
      <c r="F29">
        <f>ROUND(IF(MOD($A29,12)=0,J29,(IF(29=4,0,F28))*(1-$K29)+IF((IF(29=4,0,F28))*(1-$K29)&lt;J29,(J29-(IF(29=4,0,F28))*(1-$K29))*Hypothèses!$B$10,0)),1)</f>
        <v>1.4</v>
      </c>
      <c r="G29">
        <f>(IF(B29=1,0,IF(B29=2,Hypothèses!$B$26,IF(B29=3,Hypothèses!$C$26,Hypothèses!$D$26)))+(IF(B29=1,Hypothèses!$B$26,IF(B29=2,Hypothèses!$C$26,IF(B29=3,Hypothèses!$D$26,Hypothèses!$D$26)))-(IF(B29=1,0,IF(B29=2,Hypothèses!$B$26,IF(B29=3,Hypothèses!$C$26,Hypothèses!$D$26)))))*((A29)-INT((A29-1)/12)*12)/12)*$B$1</f>
        <v>15.166666666666666</v>
      </c>
      <c r="H29">
        <f>(IF(B29=1,0,IF(B29=2,Hypothèses!$B$27,IF(B29=3,Hypothèses!$C$27,Hypothèses!$D$27)))+(IF(B29=1,Hypothèses!$B$27,IF(B29=2,Hypothèses!$C$27,IF(B29=3,Hypothèses!$D$27,Hypothèses!$D$27)))-(IF(B29=1,0,IF(B29=2,Hypothèses!$B$27,IF(B29=3,Hypothèses!$C$27,Hypothèses!$D$27)))))*((A29)-INT((A29-1)/12)*12)/12)*$B$1</f>
        <v>53.083333333333336</v>
      </c>
      <c r="I29">
        <f>(IF(B29=1,0,IF(B29=2,Hypothèses!$B$28,IF(B29=3,Hypothèses!$C$28,Hypothèses!$D$28)))+(IF(B29=1,Hypothèses!$B$28,IF(B29=2,Hypothèses!$C$28,IF(B29=3,Hypothèses!$D$28,Hypothèses!$D$28)))-(IF(B29=1,0,IF(B29=2,Hypothèses!$B$28,IF(B29=3,Hypothèses!$C$28,Hypothèses!$D$28)))))*((A29)-INT((A29-1)/12)*12)/12)*$B$1</f>
        <v>1.7333333333333334</v>
      </c>
      <c r="J29">
        <f>(IF(B29=1,0,IF(B29=2,Hypothèses!$B$29,IF(B29=3,Hypothèses!$C$29,Hypothèses!$D$29)))+(IF(B29=1,Hypothèses!$B$29,IF(B29=2,Hypothèses!$C$29,IF(B29=3,Hypothèses!$D$29,Hypothèses!$D$29)))-(IF(B29=1,0,IF(B29=2,Hypothèses!$B$29,IF(B29=3,Hypothèses!$C$29,Hypothèses!$D$29)))))*((A29)-INT((A29-1)/12)*12)/12)*$B$1</f>
        <v>1.5166666666666668</v>
      </c>
      <c r="K29">
        <f>IF(A29&lt;Hypothèses!$B$7,0,Hypothèses!$B$8*(1-Hypothèses!$B$9)^(A29-Hypothèses!$B$7))</f>
        <v>8.3385908498332922E-3</v>
      </c>
      <c r="L29">
        <f t="shared" si="1"/>
        <v>66</v>
      </c>
      <c r="M29">
        <f>(C29*Hypothèses!$B$11+D29*Hypothèses!$B$12+E29*Hypothèses!$B$13+F29*Hypothèses!$B$14)*(IF(B29=1,Hypothèses!$B$20,IF(B29=2,Hypothèses!$B$21,Hypothèses!$B$22))+(1-(IF(B29=1,Hypothèses!$B$20,IF(B29=2,Hypothèses!$B$21,Hypothèses!$B$22))))*11/12)</f>
        <v>10161.580000000002</v>
      </c>
      <c r="N29">
        <f>L29*IF(B29=1,Hypothèses!$C$20,IF(B29=2,Hypothèses!$C$21,Hypothèses!$C$22))*IF(B29=1,Hypothèses!$D$20,IF(B29=2,Hypothèses!$D$21,Hypothèses!$D$22))</f>
        <v>237.6</v>
      </c>
      <c r="O29">
        <f>IF(A29=18,IF($B$2&gt;=1,Hypothèses!$B$33,0),IF(AND(OR(A29=30,A29=34),$D$2&gt;=1),Hypothèses!$B$34*MIN(1,$D$2/3),0))</f>
        <v>0</v>
      </c>
      <c r="P29">
        <f t="shared" si="2"/>
        <v>10399.180000000002</v>
      </c>
      <c r="Q29">
        <f>P29/(1+Hypothèses!$B$6)</f>
        <v>8665.9833333333354</v>
      </c>
      <c r="R29">
        <f>Hypothèses!$B$3*(1+Hypothèses!$B$4)^INT((A29-1)/3)</f>
        <v>1529.5114312695302</v>
      </c>
      <c r="S29">
        <f t="shared" si="3"/>
        <v>5</v>
      </c>
      <c r="T29">
        <f>S29*Hypothèses!$B$17</f>
        <v>22500</v>
      </c>
      <c r="U29">
        <f>Q29*Hypothèses!$B$5</f>
        <v>86.659833333333353</v>
      </c>
      <c r="V29">
        <f t="shared" si="4"/>
        <v>-15450.187931269529</v>
      </c>
      <c r="W29">
        <f t="shared" si="5"/>
        <v>-350229.24273792963</v>
      </c>
    </row>
    <row r="30" spans="1:23" x14ac:dyDescent="0.25">
      <c r="A30">
        <v>27</v>
      </c>
      <c r="B30">
        <f t="shared" si="0"/>
        <v>3</v>
      </c>
      <c r="C30">
        <f>ROUND(IF(MOD($A30,12)=0,G30,(IF(30=4,0,C29))*(1-$K30)+IF((IF(30=4,0,C29))*(1-$K30)&lt;G30,(G30-(IF(30=4,0,C29))*(1-$K30))*Hypothèses!$B$10,0)),1)</f>
        <v>14.8</v>
      </c>
      <c r="D30">
        <f>ROUND(IF(MOD($A30,12)=0,H30,(IF(30=4,0,D29))*(1-$K30)+IF((IF(30=4,0,D29))*(1-$K30)&lt;H30,(H30-(IF(30=4,0,D29))*(1-$K30))*Hypothèses!$B$10,0)),1)</f>
        <v>52</v>
      </c>
      <c r="E30">
        <f>ROUND(IF(MOD($A30,12)=0,I30,(IF(30=4,0,E29))*(1-$K30)+IF((IF(30=4,0,E29))*(1-$K30)&lt;I30,(I30-(IF(30=4,0,E29))*(1-$K30))*Hypothèses!$B$10,0)),1)</f>
        <v>1.7</v>
      </c>
      <c r="F30">
        <f>ROUND(IF(MOD($A30,12)=0,J30,(IF(30=4,0,F29))*(1-$K30)+IF((IF(30=4,0,F29))*(1-$K30)&lt;J30,(J30-(IF(30=4,0,F29))*(1-$K30))*Hypothèses!$B$10,0)),1)</f>
        <v>1.5</v>
      </c>
      <c r="G30">
        <f>(IF(B30=1,0,IF(B30=2,Hypothèses!$B$26,IF(B30=3,Hypothèses!$C$26,Hypothèses!$D$26)))+(IF(B30=1,Hypothèses!$B$26,IF(B30=2,Hypothèses!$C$26,IF(B30=3,Hypothèses!$D$26,Hypothèses!$D$26)))-(IF(B30=1,0,IF(B30=2,Hypothèses!$B$26,IF(B30=3,Hypothèses!$C$26,Hypothèses!$D$26)))))*((A30)-INT((A30-1)/12)*12)/12)*$B$1</f>
        <v>16.25</v>
      </c>
      <c r="H30">
        <f>(IF(B30=1,0,IF(B30=2,Hypothèses!$B$27,IF(B30=3,Hypothèses!$C$27,Hypothèses!$D$27)))+(IF(B30=1,Hypothèses!$B$27,IF(B30=2,Hypothèses!$C$27,IF(B30=3,Hypothèses!$D$27,Hypothèses!$D$27)))-(IF(B30=1,0,IF(B30=2,Hypothèses!$B$27,IF(B30=3,Hypothèses!$C$27,Hypothèses!$D$27)))))*((A30)-INT((A30-1)/12)*12)/12)*$B$1</f>
        <v>56.875</v>
      </c>
      <c r="I30">
        <f>(IF(B30=1,0,IF(B30=2,Hypothèses!$B$28,IF(B30=3,Hypothèses!$C$28,Hypothèses!$D$28)))+(IF(B30=1,Hypothèses!$B$28,IF(B30=2,Hypothèses!$C$28,IF(B30=3,Hypothèses!$D$28,Hypothèses!$D$28)))-(IF(B30=1,0,IF(B30=2,Hypothèses!$B$28,IF(B30=3,Hypothèses!$C$28,Hypothèses!$D$28)))))*((A30)-INT((A30-1)/12)*12)/12)*$B$1</f>
        <v>1.9500000000000002</v>
      </c>
      <c r="J30">
        <f>(IF(B30=1,0,IF(B30=2,Hypothèses!$B$29,IF(B30=3,Hypothèses!$C$29,Hypothèses!$D$29)))+(IF(B30=1,Hypothèses!$B$29,IF(B30=2,Hypothèses!$C$29,IF(B30=3,Hypothèses!$D$29,Hypothèses!$D$29)))-(IF(B30=1,0,IF(B30=2,Hypothèses!$B$29,IF(B30=3,Hypothèses!$C$29,Hypothèses!$D$29)))))*((A30)-INT((A30-1)/12)*12)/12)*$B$1</f>
        <v>1.625</v>
      </c>
      <c r="K30">
        <f>IF(A30&lt;Hypothèses!$B$7,0,Hypothèses!$B$8*(1-Hypothèses!$B$9)^(A30-Hypothèses!$B$7))</f>
        <v>7.5047317648499617E-3</v>
      </c>
      <c r="L30">
        <f t="shared" si="1"/>
        <v>70</v>
      </c>
      <c r="M30">
        <f>(C30*Hypothèses!$B$11+D30*Hypothèses!$B$12+E30*Hypothèses!$B$13+F30*Hypothèses!$B$14)*(IF(B30=1,Hypothèses!$B$20,IF(B30=2,Hypothèses!$B$21,Hypothèses!$B$22))+(1-(IF(B30=1,Hypothèses!$B$20,IF(B30=2,Hypothèses!$B$21,Hypothèses!$B$22))))*11/12)</f>
        <v>10828.574999999999</v>
      </c>
      <c r="N30">
        <f>L30*IF(B30=1,Hypothèses!$C$20,IF(B30=2,Hypothèses!$C$21,Hypothèses!$C$22))*IF(B30=1,Hypothèses!$D$20,IF(B30=2,Hypothèses!$D$21,Hypothèses!$D$22))</f>
        <v>252</v>
      </c>
      <c r="O30">
        <f>IF(A30=18,IF($B$2&gt;=1,Hypothèses!$B$33,0),IF(AND(OR(A30=30,A30=34),$D$2&gt;=1),Hypothèses!$B$34*MIN(1,$D$2/3),0))</f>
        <v>0</v>
      </c>
      <c r="P30">
        <f t="shared" si="2"/>
        <v>11080.574999999999</v>
      </c>
      <c r="Q30">
        <f>P30/(1+Hypothèses!$B$6)</f>
        <v>9233.8125</v>
      </c>
      <c r="R30">
        <f>Hypothèses!$B$3*(1+Hypothèses!$B$4)^INT((A30-1)/3)</f>
        <v>1529.5114312695302</v>
      </c>
      <c r="S30">
        <f t="shared" si="3"/>
        <v>5</v>
      </c>
      <c r="T30">
        <f>S30*Hypothèses!$B$17</f>
        <v>22500</v>
      </c>
      <c r="U30">
        <f>Q30*Hypothèses!$B$5</f>
        <v>92.338125000000005</v>
      </c>
      <c r="V30">
        <f t="shared" si="4"/>
        <v>-14888.03705626953</v>
      </c>
      <c r="W30">
        <f t="shared" si="5"/>
        <v>-365117.27979419916</v>
      </c>
    </row>
    <row r="31" spans="1:23" x14ac:dyDescent="0.25">
      <c r="A31">
        <v>28</v>
      </c>
      <c r="B31">
        <f t="shared" si="0"/>
        <v>3</v>
      </c>
      <c r="C31">
        <f>ROUND(IF(MOD($A31,12)=0,G31,(IF(31=4,0,C30))*(1-$K31)+IF((IF(31=4,0,C30))*(1-$K31)&lt;G31,(G31-(IF(31=4,0,C30))*(1-$K31))*Hypothèses!$B$10,0)),1)</f>
        <v>15.8</v>
      </c>
      <c r="D31">
        <f>ROUND(IF(MOD($A31,12)=0,H31,(IF(31=4,0,D30))*(1-$K31)+IF((IF(31=4,0,D30))*(1-$K31)&lt;H31,(H31-(IF(31=4,0,D30))*(1-$K31))*Hypothèses!$B$10,0)),1)</f>
        <v>55.3</v>
      </c>
      <c r="E31">
        <f>ROUND(IF(MOD($A31,12)=0,I31,(IF(31=4,0,E30))*(1-$K31)+IF((IF(31=4,0,E30))*(1-$K31)&lt;I31,(I31-(IF(31=4,0,E30))*(1-$K31))*Hypothèses!$B$10,0)),1)</f>
        <v>1.9</v>
      </c>
      <c r="F31">
        <f>ROUND(IF(MOD($A31,12)=0,J31,(IF(31=4,0,F30))*(1-$K31)+IF((IF(31=4,0,F30))*(1-$K31)&lt;J31,(J31-(IF(31=4,0,F30))*(1-$K31))*Hypothèses!$B$10,0)),1)</f>
        <v>1.6</v>
      </c>
      <c r="G31">
        <f>(IF(B31=1,0,IF(B31=2,Hypothèses!$B$26,IF(B31=3,Hypothèses!$C$26,Hypothèses!$D$26)))+(IF(B31=1,Hypothèses!$B$26,IF(B31=2,Hypothèses!$C$26,IF(B31=3,Hypothèses!$D$26,Hypothèses!$D$26)))-(IF(B31=1,0,IF(B31=2,Hypothèses!$B$26,IF(B31=3,Hypothèses!$C$26,Hypothèses!$D$26)))))*((A31)-INT((A31-1)/12)*12)/12)*$B$1</f>
        <v>17.333333333333336</v>
      </c>
      <c r="H31">
        <f>(IF(B31=1,0,IF(B31=2,Hypothèses!$B$27,IF(B31=3,Hypothèses!$C$27,Hypothèses!$D$27)))+(IF(B31=1,Hypothèses!$B$27,IF(B31=2,Hypothèses!$C$27,IF(B31=3,Hypothèses!$D$27,Hypothèses!$D$27)))-(IF(B31=1,0,IF(B31=2,Hypothèses!$B$27,IF(B31=3,Hypothèses!$C$27,Hypothèses!$D$27)))))*((A31)-INT((A31-1)/12)*12)/12)*$B$1</f>
        <v>60.666666666666664</v>
      </c>
      <c r="I31">
        <f>(IF(B31=1,0,IF(B31=2,Hypothèses!$B$28,IF(B31=3,Hypothèses!$C$28,Hypothèses!$D$28)))+(IF(B31=1,Hypothèses!$B$28,IF(B31=2,Hypothèses!$C$28,IF(B31=3,Hypothèses!$D$28,Hypothèses!$D$28)))-(IF(B31=1,0,IF(B31=2,Hypothèses!$B$28,IF(B31=3,Hypothèses!$C$28,Hypothèses!$D$28)))))*((A31)-INT((A31-1)/12)*12)/12)*$B$1</f>
        <v>2.1666666666666665</v>
      </c>
      <c r="J31">
        <f>(IF(B31=1,0,IF(B31=2,Hypothèses!$B$29,IF(B31=3,Hypothèses!$C$29,Hypothèses!$D$29)))+(IF(B31=1,Hypothèses!$B$29,IF(B31=2,Hypothèses!$C$29,IF(B31=3,Hypothèses!$D$29,Hypothèses!$D$29)))-(IF(B31=1,0,IF(B31=2,Hypothèses!$B$29,IF(B31=3,Hypothèses!$C$29,Hypothèses!$D$29)))))*((A31)-INT((A31-1)/12)*12)/12)*$B$1</f>
        <v>1.7333333333333334</v>
      </c>
      <c r="K31">
        <f>IF(A31&lt;Hypothèses!$B$7,0,Hypothèses!$B$8*(1-Hypothèses!$B$9)^(A31-Hypothèses!$B$7))</f>
        <v>6.754258588364967E-3</v>
      </c>
      <c r="L31">
        <f t="shared" si="1"/>
        <v>74.599999999999994</v>
      </c>
      <c r="M31">
        <f>(C31*Hypothèses!$B$11+D31*Hypothèses!$B$12+E31*Hypothèses!$B$13+F31*Hypothèses!$B$14)*(IF(B31=1,Hypothèses!$B$20,IF(B31=2,Hypothèses!$B$21,Hypothèses!$B$22))+(1-(IF(B31=1,Hypothèses!$B$20,IF(B31=2,Hypothèses!$B$21,Hypothèses!$B$22))))*11/12)</f>
        <v>11569.1</v>
      </c>
      <c r="N31">
        <f>L31*IF(B31=1,Hypothèses!$C$20,IF(B31=2,Hypothèses!$C$21,Hypothèses!$C$22))*IF(B31=1,Hypothèses!$D$20,IF(B31=2,Hypothèses!$D$21,Hypothèses!$D$22))</f>
        <v>268.55999999999995</v>
      </c>
      <c r="O31">
        <f>IF(A31=18,IF($B$2&gt;=1,Hypothèses!$B$33,0),IF(AND(OR(A31=30,A31=34),$D$2&gt;=1),Hypothèses!$B$34*MIN(1,$D$2/3),0))</f>
        <v>0</v>
      </c>
      <c r="P31">
        <f t="shared" si="2"/>
        <v>11837.66</v>
      </c>
      <c r="Q31">
        <f>P31/(1+Hypothèses!$B$6)</f>
        <v>9864.7166666666672</v>
      </c>
      <c r="R31">
        <f>Hypothèses!$B$3*(1+Hypothèses!$B$4)^INT((A31-1)/3)</f>
        <v>1758.9381459599595</v>
      </c>
      <c r="S31">
        <f t="shared" si="3"/>
        <v>5</v>
      </c>
      <c r="T31">
        <f>S31*Hypothèses!$B$17</f>
        <v>22500</v>
      </c>
      <c r="U31">
        <f>Q31*Hypothèses!$B$5</f>
        <v>98.647166666666678</v>
      </c>
      <c r="V31">
        <f t="shared" si="4"/>
        <v>-14492.868645959959</v>
      </c>
      <c r="W31">
        <f t="shared" si="5"/>
        <v>-379610.1484401591</v>
      </c>
    </row>
    <row r="32" spans="1:23" x14ac:dyDescent="0.25">
      <c r="A32">
        <v>29</v>
      </c>
      <c r="B32">
        <f t="shared" si="0"/>
        <v>3</v>
      </c>
      <c r="C32">
        <f>ROUND(IF(MOD($A32,12)=0,G32,(IF(32=4,0,C31))*(1-$K32)+IF((IF(32=4,0,C31))*(1-$K32)&lt;G32,(G32-(IF(32=4,0,C31))*(1-$K32))*Hypothèses!$B$10,0)),1)</f>
        <v>16.8</v>
      </c>
      <c r="D32">
        <f>ROUND(IF(MOD($A32,12)=0,H32,(IF(32=4,0,D31))*(1-$K32)+IF((IF(32=4,0,D31))*(1-$K32)&lt;H32,(H32-(IF(32=4,0,D31))*(1-$K32))*Hypothèses!$B$10,0)),1)</f>
        <v>58.8</v>
      </c>
      <c r="E32">
        <f>ROUND(IF(MOD($A32,12)=0,I32,(IF(32=4,0,E31))*(1-$K32)+IF((IF(32=4,0,E31))*(1-$K32)&lt;I32,(I32-(IF(32=4,0,E31))*(1-$K32))*Hypothèses!$B$10,0)),1)</f>
        <v>2.1</v>
      </c>
      <c r="F32">
        <f>ROUND(IF(MOD($A32,12)=0,J32,(IF(32=4,0,F31))*(1-$K32)+IF((IF(32=4,0,F31))*(1-$K32)&lt;J32,(J32-(IF(32=4,0,F31))*(1-$K32))*Hypothèses!$B$10,0)),1)</f>
        <v>1.7</v>
      </c>
      <c r="G32">
        <f>(IF(B32=1,0,IF(B32=2,Hypothèses!$B$26,IF(B32=3,Hypothèses!$C$26,Hypothèses!$D$26)))+(IF(B32=1,Hypothèses!$B$26,IF(B32=2,Hypothèses!$C$26,IF(B32=3,Hypothèses!$D$26,Hypothèses!$D$26)))-(IF(B32=1,0,IF(B32=2,Hypothèses!$B$26,IF(B32=3,Hypothèses!$C$26,Hypothèses!$D$26)))))*((A32)-INT((A32-1)/12)*12)/12)*$B$1</f>
        <v>18.416666666666668</v>
      </c>
      <c r="H32">
        <f>(IF(B32=1,0,IF(B32=2,Hypothèses!$B$27,IF(B32=3,Hypothèses!$C$27,Hypothèses!$D$27)))+(IF(B32=1,Hypothèses!$B$27,IF(B32=2,Hypothèses!$C$27,IF(B32=3,Hypothèses!$D$27,Hypothèses!$D$27)))-(IF(B32=1,0,IF(B32=2,Hypothèses!$B$27,IF(B32=3,Hypothèses!$C$27,Hypothèses!$D$27)))))*((A32)-INT((A32-1)/12)*12)/12)*$B$1</f>
        <v>64.458333333333343</v>
      </c>
      <c r="I32">
        <f>(IF(B32=1,0,IF(B32=2,Hypothèses!$B$28,IF(B32=3,Hypothèses!$C$28,Hypothèses!$D$28)))+(IF(B32=1,Hypothèses!$B$28,IF(B32=2,Hypothèses!$C$28,IF(B32=3,Hypothèses!$D$28,Hypothèses!$D$28)))-(IF(B32=1,0,IF(B32=2,Hypothèses!$B$28,IF(B32=3,Hypothèses!$C$28,Hypothèses!$D$28)))))*((A32)-INT((A32-1)/12)*12)/12)*$B$1</f>
        <v>2.3833333333333337</v>
      </c>
      <c r="J32">
        <f>(IF(B32=1,0,IF(B32=2,Hypothèses!$B$29,IF(B32=3,Hypothèses!$C$29,Hypothèses!$D$29)))+(IF(B32=1,Hypothèses!$B$29,IF(B32=2,Hypothèses!$C$29,IF(B32=3,Hypothèses!$D$29,Hypothèses!$D$29)))-(IF(B32=1,0,IF(B32=2,Hypothèses!$B$29,IF(B32=3,Hypothèses!$C$29,Hypothèses!$D$29)))))*((A32)-INT((A32-1)/12)*12)/12)*$B$1</f>
        <v>1.8416666666666668</v>
      </c>
      <c r="K32">
        <f>IF(A32&lt;Hypothèses!$B$7,0,Hypothèses!$B$8*(1-Hypothèses!$B$9)^(A32-Hypothèses!$B$7))</f>
        <v>6.0788327295284708E-3</v>
      </c>
      <c r="L32">
        <f t="shared" si="1"/>
        <v>79.399999999999991</v>
      </c>
      <c r="M32">
        <f>(C32*Hypothèses!$B$11+D32*Hypothèses!$B$12+E32*Hypothèses!$B$13+F32*Hypothèses!$B$14)*(IF(B32=1,Hypothèses!$B$20,IF(B32=2,Hypothèses!$B$21,Hypothèses!$B$22))+(1-(IF(B32=1,Hypothèses!$B$20,IF(B32=2,Hypothèses!$B$21,Hypothèses!$B$22))))*11/12)</f>
        <v>12337.934999999999</v>
      </c>
      <c r="N32">
        <f>L32*IF(B32=1,Hypothèses!$C$20,IF(B32=2,Hypothèses!$C$21,Hypothèses!$C$22))*IF(B32=1,Hypothèses!$D$20,IF(B32=2,Hypothèses!$D$21,Hypothèses!$D$22))</f>
        <v>285.83999999999997</v>
      </c>
      <c r="O32">
        <f>IF(A32=18,IF($B$2&gt;=1,Hypothèses!$B$33,0),IF(AND(OR(A32=30,A32=34),$D$2&gt;=1),Hypothèses!$B$34*MIN(1,$D$2/3),0))</f>
        <v>0</v>
      </c>
      <c r="P32">
        <f t="shared" si="2"/>
        <v>12623.775</v>
      </c>
      <c r="Q32">
        <f>P32/(1+Hypothèses!$B$6)</f>
        <v>10519.8125</v>
      </c>
      <c r="R32">
        <f>Hypothèses!$B$3*(1+Hypothèses!$B$4)^INT((A32-1)/3)</f>
        <v>1758.9381459599595</v>
      </c>
      <c r="S32">
        <f t="shared" si="3"/>
        <v>5</v>
      </c>
      <c r="T32">
        <f>S32*Hypothèses!$B$17</f>
        <v>22500</v>
      </c>
      <c r="U32">
        <f>Q32*Hypothèses!$B$5</f>
        <v>105.198125</v>
      </c>
      <c r="V32">
        <f t="shared" si="4"/>
        <v>-13844.32377095996</v>
      </c>
      <c r="W32">
        <f t="shared" si="5"/>
        <v>-393454.47221111908</v>
      </c>
    </row>
    <row r="33" spans="1:23" x14ac:dyDescent="0.25">
      <c r="A33">
        <v>30</v>
      </c>
      <c r="B33">
        <f t="shared" si="0"/>
        <v>3</v>
      </c>
      <c r="C33">
        <f>ROUND(IF(MOD($A33,12)=0,G33,(IF(33=4,0,C32))*(1-$K33)+IF((IF(33=4,0,C32))*(1-$K33)&lt;G33,(G33-(IF(33=4,0,C32))*(1-$K33))*Hypothèses!$B$10,0)),1)</f>
        <v>17.8</v>
      </c>
      <c r="D33">
        <f>ROUND(IF(MOD($A33,12)=0,H33,(IF(33=4,0,D32))*(1-$K33)+IF((IF(33=4,0,D32))*(1-$K33)&lt;H33,(H33-(IF(33=4,0,D32))*(1-$K33))*Hypothèses!$B$10,0)),1)</f>
        <v>62.4</v>
      </c>
      <c r="E33">
        <f>ROUND(IF(MOD($A33,12)=0,I33,(IF(33=4,0,E32))*(1-$K33)+IF((IF(33=4,0,E32))*(1-$K33)&lt;I33,(I33-(IF(33=4,0,E32))*(1-$K33))*Hypothèses!$B$10,0)),1)</f>
        <v>2.2999999999999998</v>
      </c>
      <c r="F33">
        <f>ROUND(IF(MOD($A33,12)=0,J33,(IF(33=4,0,F32))*(1-$K33)+IF((IF(33=4,0,F32))*(1-$K33)&lt;J33,(J33-(IF(33=4,0,F32))*(1-$K33))*Hypothèses!$B$10,0)),1)</f>
        <v>1.8</v>
      </c>
      <c r="G33">
        <f>(IF(B33=1,0,IF(B33=2,Hypothèses!$B$26,IF(B33=3,Hypothèses!$C$26,Hypothèses!$D$26)))+(IF(B33=1,Hypothèses!$B$26,IF(B33=2,Hypothèses!$C$26,IF(B33=3,Hypothèses!$D$26,Hypothèses!$D$26)))-(IF(B33=1,0,IF(B33=2,Hypothèses!$B$26,IF(B33=3,Hypothèses!$C$26,Hypothèses!$D$26)))))*((A33)-INT((A33-1)/12)*12)/12)*$B$1</f>
        <v>19.5</v>
      </c>
      <c r="H33">
        <f>(IF(B33=1,0,IF(B33=2,Hypothèses!$B$27,IF(B33=3,Hypothèses!$C$27,Hypothèses!$D$27)))+(IF(B33=1,Hypothèses!$B$27,IF(B33=2,Hypothèses!$C$27,IF(B33=3,Hypothèses!$D$27,Hypothèses!$D$27)))-(IF(B33=1,0,IF(B33=2,Hypothèses!$B$27,IF(B33=3,Hypothèses!$C$27,Hypothèses!$D$27)))))*((A33)-INT((A33-1)/12)*12)/12)*$B$1</f>
        <v>68.25</v>
      </c>
      <c r="I33">
        <f>(IF(B33=1,0,IF(B33=2,Hypothèses!$B$28,IF(B33=3,Hypothèses!$C$28,Hypothèses!$D$28)))+(IF(B33=1,Hypothèses!$B$28,IF(B33=2,Hypothèses!$C$28,IF(B33=3,Hypothèses!$D$28,Hypothèses!$D$28)))-(IF(B33=1,0,IF(B33=2,Hypothèses!$B$28,IF(B33=3,Hypothèses!$C$28,Hypothèses!$D$28)))))*((A33)-INT((A33-1)/12)*12)/12)*$B$1</f>
        <v>2.6</v>
      </c>
      <c r="J33">
        <f>(IF(B33=1,0,IF(B33=2,Hypothèses!$B$29,IF(B33=3,Hypothèses!$C$29,Hypothèses!$D$29)))+(IF(B33=1,Hypothèses!$B$29,IF(B33=2,Hypothèses!$C$29,IF(B33=3,Hypothèses!$D$29,Hypothèses!$D$29)))-(IF(B33=1,0,IF(B33=2,Hypothèses!$B$29,IF(B33=3,Hypothèses!$C$29,Hypothèses!$D$29)))))*((A33)-INT((A33-1)/12)*12)/12)*$B$1</f>
        <v>1.9500000000000002</v>
      </c>
      <c r="K33">
        <f>IF(A33&lt;Hypothèses!$B$7,0,Hypothèses!$B$8*(1-Hypothèses!$B$9)^(A33-Hypothèses!$B$7))</f>
        <v>5.4709494565756238E-3</v>
      </c>
      <c r="L33">
        <f t="shared" si="1"/>
        <v>84.3</v>
      </c>
      <c r="M33">
        <f>(C33*Hypothèses!$B$11+D33*Hypothèses!$B$12+E33*Hypothèses!$B$13+F33*Hypothèses!$B$14)*(IF(B33=1,Hypothèses!$B$20,IF(B33=2,Hypothèses!$B$21,Hypothèses!$B$22))+(1-(IF(B33=1,Hypothèses!$B$20,IF(B33=2,Hypothèses!$B$21,Hypothèses!$B$22))))*11/12)</f>
        <v>13120.924999999999</v>
      </c>
      <c r="N33">
        <f>L33*IF(B33=1,Hypothèses!$C$20,IF(B33=2,Hypothèses!$C$21,Hypothèses!$C$22))*IF(B33=1,Hypothèses!$D$20,IF(B33=2,Hypothèses!$D$21,Hypothèses!$D$22))</f>
        <v>303.48</v>
      </c>
      <c r="O33">
        <f>IF(A33=18,IF($B$2&gt;=1,Hypothèses!$B$33,0),IF(AND(OR(A33=30,A33=34),$D$2&gt;=1),Hypothèses!$B$34*MIN(1,$D$2/3),0))</f>
        <v>17000</v>
      </c>
      <c r="P33">
        <f t="shared" si="2"/>
        <v>30424.404999999999</v>
      </c>
      <c r="Q33">
        <f>P33/(1+Hypothèses!$B$6)</f>
        <v>25353.670833333334</v>
      </c>
      <c r="R33">
        <f>Hypothèses!$B$3*(1+Hypothèses!$B$4)^INT((A33-1)/3)</f>
        <v>1758.9381459599595</v>
      </c>
      <c r="S33">
        <f t="shared" si="3"/>
        <v>5</v>
      </c>
      <c r="T33">
        <f>S33*Hypothèses!$B$17</f>
        <v>22500</v>
      </c>
      <c r="U33">
        <f>Q33*Hypothèses!$B$5</f>
        <v>253.53670833333334</v>
      </c>
      <c r="V33">
        <f t="shared" si="4"/>
        <v>841.19597904003945</v>
      </c>
      <c r="W33">
        <f t="shared" si="5"/>
        <v>-392613.27623207902</v>
      </c>
    </row>
    <row r="34" spans="1:23" x14ac:dyDescent="0.25">
      <c r="A34">
        <v>31</v>
      </c>
      <c r="B34">
        <f t="shared" si="0"/>
        <v>3</v>
      </c>
      <c r="C34">
        <f>ROUND(IF(MOD($A34,12)=0,G34,(IF(34=4,0,C33))*(1-$K34)+IF((IF(34=4,0,C33))*(1-$K34)&lt;G34,(G34-(IF(34=4,0,C33))*(1-$K34))*Hypothèses!$B$10,0)),1)</f>
        <v>18.899999999999999</v>
      </c>
      <c r="D34">
        <f>ROUND(IF(MOD($A34,12)=0,H34,(IF(34=4,0,D33))*(1-$K34)+IF((IF(34=4,0,D33))*(1-$K34)&lt;H34,(H34-(IF(34=4,0,D33))*(1-$K34))*Hypothèses!$B$10,0)),1)</f>
        <v>66.099999999999994</v>
      </c>
      <c r="E34">
        <f>ROUND(IF(MOD($A34,12)=0,I34,(IF(34=4,0,E33))*(1-$K34)+IF((IF(34=4,0,E33))*(1-$K34)&lt;I34,(I34-(IF(34=4,0,E33))*(1-$K34))*Hypothèses!$B$10,0)),1)</f>
        <v>2.5</v>
      </c>
      <c r="F34">
        <f>ROUND(IF(MOD($A34,12)=0,J34,(IF(34=4,0,F33))*(1-$K34)+IF((IF(34=4,0,F33))*(1-$K34)&lt;J34,(J34-(IF(34=4,0,F33))*(1-$K34))*Hypothèses!$B$10,0)),1)</f>
        <v>1.9</v>
      </c>
      <c r="G34">
        <f>(IF(B34=1,0,IF(B34=2,Hypothèses!$B$26,IF(B34=3,Hypothèses!$C$26,Hypothèses!$D$26)))+(IF(B34=1,Hypothèses!$B$26,IF(B34=2,Hypothèses!$C$26,IF(B34=3,Hypothèses!$D$26,Hypothèses!$D$26)))-(IF(B34=1,0,IF(B34=2,Hypothèses!$B$26,IF(B34=3,Hypothèses!$C$26,Hypothèses!$D$26)))))*((A34)-INT((A34-1)/12)*12)/12)*$B$1</f>
        <v>20.583333333333332</v>
      </c>
      <c r="H34">
        <f>(IF(B34=1,0,IF(B34=2,Hypothèses!$B$27,IF(B34=3,Hypothèses!$C$27,Hypothèses!$D$27)))+(IF(B34=1,Hypothèses!$B$27,IF(B34=2,Hypothèses!$C$27,IF(B34=3,Hypothèses!$D$27,Hypothèses!$D$27)))-(IF(B34=1,0,IF(B34=2,Hypothèses!$B$27,IF(B34=3,Hypothèses!$C$27,Hypothèses!$D$27)))))*((A34)-INT((A34-1)/12)*12)/12)*$B$1</f>
        <v>72.041666666666671</v>
      </c>
      <c r="I34">
        <f>(IF(B34=1,0,IF(B34=2,Hypothèses!$B$28,IF(B34=3,Hypothèses!$C$28,Hypothèses!$D$28)))+(IF(B34=1,Hypothèses!$B$28,IF(B34=2,Hypothèses!$C$28,IF(B34=3,Hypothèses!$D$28,Hypothèses!$D$28)))-(IF(B34=1,0,IF(B34=2,Hypothèses!$B$28,IF(B34=3,Hypothèses!$C$28,Hypothèses!$D$28)))))*((A34)-INT((A34-1)/12)*12)/12)*$B$1</f>
        <v>2.8166666666666673</v>
      </c>
      <c r="J34">
        <f>(IF(B34=1,0,IF(B34=2,Hypothèses!$B$29,IF(B34=3,Hypothèses!$C$29,Hypothèses!$D$29)))+(IF(B34=1,Hypothèses!$B$29,IF(B34=2,Hypothèses!$C$29,IF(B34=3,Hypothèses!$D$29,Hypothèses!$D$29)))-(IF(B34=1,0,IF(B34=2,Hypothèses!$B$29,IF(B34=3,Hypothèses!$C$29,Hypothèses!$D$29)))))*((A34)-INT((A34-1)/12)*12)/12)*$B$1</f>
        <v>2.0583333333333336</v>
      </c>
      <c r="K34">
        <f>IF(A34&lt;Hypothèses!$B$7,0,Hypothèses!$B$8*(1-Hypothèses!$B$9)^(A34-Hypothèses!$B$7))</f>
        <v>4.9238545109180623E-3</v>
      </c>
      <c r="L34">
        <f t="shared" si="1"/>
        <v>89.4</v>
      </c>
      <c r="M34">
        <f>(C34*Hypothèses!$B$11+D34*Hypothèses!$B$12+E34*Hypothèses!$B$13+F34*Hypothèses!$B$14)*(IF(B34=1,Hypothèses!$B$20,IF(B34=2,Hypothèses!$B$21,Hypothèses!$B$22))+(1-(IF(B34=1,Hypothèses!$B$20,IF(B34=2,Hypothèses!$B$21,Hypothèses!$B$22))))*11/12)</f>
        <v>13926.525</v>
      </c>
      <c r="N34">
        <f>L34*IF(B34=1,Hypothèses!$C$20,IF(B34=2,Hypothèses!$C$21,Hypothèses!$C$22))*IF(B34=1,Hypothèses!$D$20,IF(B34=2,Hypothèses!$D$21,Hypothèses!$D$22))</f>
        <v>321.83999999999997</v>
      </c>
      <c r="O34">
        <f>IF(A34=18,IF($B$2&gt;=1,Hypothèses!$B$33,0),IF(AND(OR(A34=30,A34=34),$D$2&gt;=1),Hypothèses!$B$34*MIN(1,$D$2/3),0))</f>
        <v>0</v>
      </c>
      <c r="P34">
        <f t="shared" si="2"/>
        <v>14248.365</v>
      </c>
      <c r="Q34">
        <f>P34/(1+Hypothèses!$B$6)</f>
        <v>11873.637500000001</v>
      </c>
      <c r="R34">
        <f>Hypothèses!$B$3*(1+Hypothèses!$B$4)^INT((A34-1)/3)</f>
        <v>2022.7788678539534</v>
      </c>
      <c r="S34">
        <f t="shared" si="3"/>
        <v>5</v>
      </c>
      <c r="T34">
        <f>S34*Hypothèses!$B$17</f>
        <v>22500</v>
      </c>
      <c r="U34">
        <f>Q34*Hypothèses!$B$5</f>
        <v>118.73637500000001</v>
      </c>
      <c r="V34">
        <f t="shared" si="4"/>
        <v>-12767.877742853952</v>
      </c>
      <c r="W34">
        <f t="shared" si="5"/>
        <v>-405381.15397493297</v>
      </c>
    </row>
    <row r="35" spans="1:23" x14ac:dyDescent="0.25">
      <c r="A35">
        <v>32</v>
      </c>
      <c r="B35">
        <f t="shared" si="0"/>
        <v>3</v>
      </c>
      <c r="C35">
        <f>ROUND(IF(MOD($A35,12)=0,G35,(IF(35=4,0,C34))*(1-$K35)+IF((IF(35=4,0,C34))*(1-$K35)&lt;G35,(G35-(IF(35=4,0,C34))*(1-$K35))*Hypothèses!$B$10,0)),1)</f>
        <v>20</v>
      </c>
      <c r="D35">
        <f>ROUND(IF(MOD($A35,12)=0,H35,(IF(35=4,0,D34))*(1-$K35)+IF((IF(35=4,0,D34))*(1-$K35)&lt;H35,(H35-(IF(35=4,0,D34))*(1-$K35))*Hypothèses!$B$10,0)),1)</f>
        <v>69.8</v>
      </c>
      <c r="E35">
        <f>ROUND(IF(MOD($A35,12)=0,I35,(IF(35=4,0,E34))*(1-$K35)+IF((IF(35=4,0,E34))*(1-$K35)&lt;I35,(I35-(IF(35=4,0,E34))*(1-$K35))*Hypothèses!$B$10,0)),1)</f>
        <v>2.7</v>
      </c>
      <c r="F35">
        <f>ROUND(IF(MOD($A35,12)=0,J35,(IF(35=4,0,F34))*(1-$K35)+IF((IF(35=4,0,F34))*(1-$K35)&lt;J35,(J35-(IF(35=4,0,F34))*(1-$K35))*Hypothèses!$B$10,0)),1)</f>
        <v>2</v>
      </c>
      <c r="G35">
        <f>(IF(B35=1,0,IF(B35=2,Hypothèses!$B$26,IF(B35=3,Hypothèses!$C$26,Hypothèses!$D$26)))+(IF(B35=1,Hypothèses!$B$26,IF(B35=2,Hypothèses!$C$26,IF(B35=3,Hypothèses!$D$26,Hypothèses!$D$26)))-(IF(B35=1,0,IF(B35=2,Hypothèses!$B$26,IF(B35=3,Hypothèses!$C$26,Hypothèses!$D$26)))))*((A35)-INT((A35-1)/12)*12)/12)*$B$1</f>
        <v>21.666666666666668</v>
      </c>
      <c r="H35">
        <f>(IF(B35=1,0,IF(B35=2,Hypothèses!$B$27,IF(B35=3,Hypothèses!$C$27,Hypothèses!$D$27)))+(IF(B35=1,Hypothèses!$B$27,IF(B35=2,Hypothèses!$C$27,IF(B35=3,Hypothèses!$D$27,Hypothèses!$D$27)))-(IF(B35=1,0,IF(B35=2,Hypothèses!$B$27,IF(B35=3,Hypothèses!$C$27,Hypothèses!$D$27)))))*((A35)-INT((A35-1)/12)*12)/12)*$B$1</f>
        <v>75.833333333333329</v>
      </c>
      <c r="I35">
        <f>(IF(B35=1,0,IF(B35=2,Hypothèses!$B$28,IF(B35=3,Hypothèses!$C$28,Hypothèses!$D$28)))+(IF(B35=1,Hypothèses!$B$28,IF(B35=2,Hypothèses!$C$28,IF(B35=3,Hypothèses!$D$28,Hypothèses!$D$28)))-(IF(B35=1,0,IF(B35=2,Hypothèses!$B$28,IF(B35=3,Hypothèses!$C$28,Hypothèses!$D$28)))))*((A35)-INT((A35-1)/12)*12)/12)*$B$1</f>
        <v>3.0333333333333332</v>
      </c>
      <c r="J35">
        <f>(IF(B35=1,0,IF(B35=2,Hypothèses!$B$29,IF(B35=3,Hypothèses!$C$29,Hypothèses!$D$29)))+(IF(B35=1,Hypothèses!$B$29,IF(B35=2,Hypothèses!$C$29,IF(B35=3,Hypothèses!$D$29,Hypothèses!$D$29)))-(IF(B35=1,0,IF(B35=2,Hypothèses!$B$29,IF(B35=3,Hypothèses!$C$29,Hypothèses!$D$29)))))*((A35)-INT((A35-1)/12)*12)/12)*$B$1</f>
        <v>2.1666666666666665</v>
      </c>
      <c r="K35">
        <f>IF(A35&lt;Hypothèses!$B$7,0,Hypothèses!$B$8*(1-Hypothèses!$B$9)^(A35-Hypothèses!$B$7))</f>
        <v>4.4314690598262554E-3</v>
      </c>
      <c r="L35">
        <f t="shared" si="1"/>
        <v>94.5</v>
      </c>
      <c r="M35">
        <f>(C35*Hypothèses!$B$11+D35*Hypothèses!$B$12+E35*Hypothèses!$B$13+F35*Hypothèses!$B$14)*(IF(B35=1,Hypothèses!$B$20,IF(B35=2,Hypothèses!$B$21,Hypothèses!$B$22))+(1-(IF(B35=1,Hypothèses!$B$20,IF(B35=2,Hypothèses!$B$21,Hypothèses!$B$22))))*11/12)</f>
        <v>14732.125</v>
      </c>
      <c r="N35">
        <f>L35*IF(B35=1,Hypothèses!$C$20,IF(B35=2,Hypothèses!$C$21,Hypothèses!$C$22))*IF(B35=1,Hypothèses!$D$20,IF(B35=2,Hypothèses!$D$21,Hypothèses!$D$22))</f>
        <v>340.2</v>
      </c>
      <c r="O35">
        <f>IF(A35=18,IF($B$2&gt;=1,Hypothèses!$B$33,0),IF(AND(OR(A35=30,A35=34),$D$2&gt;=1),Hypothèses!$B$34*MIN(1,$D$2/3),0))</f>
        <v>0</v>
      </c>
      <c r="P35">
        <f t="shared" si="2"/>
        <v>15072.325000000001</v>
      </c>
      <c r="Q35">
        <f>P35/(1+Hypothèses!$B$6)</f>
        <v>12560.270833333334</v>
      </c>
      <c r="R35">
        <f>Hypothèses!$B$3*(1+Hypothèses!$B$4)^INT((A35-1)/3)</f>
        <v>2022.7788678539534</v>
      </c>
      <c r="S35">
        <f t="shared" si="3"/>
        <v>5</v>
      </c>
      <c r="T35">
        <f>S35*Hypothèses!$B$17</f>
        <v>22500</v>
      </c>
      <c r="U35">
        <f>Q35*Hypothèses!$B$5</f>
        <v>125.60270833333334</v>
      </c>
      <c r="V35">
        <f t="shared" si="4"/>
        <v>-12088.110742853953</v>
      </c>
      <c r="W35">
        <f t="shared" si="5"/>
        <v>-417469.26471778692</v>
      </c>
    </row>
    <row r="36" spans="1:23" x14ac:dyDescent="0.25">
      <c r="A36">
        <v>33</v>
      </c>
      <c r="B36">
        <f t="shared" si="0"/>
        <v>3</v>
      </c>
      <c r="C36">
        <f>ROUND(IF(MOD($A36,12)=0,G36,(IF(36=4,0,C35))*(1-$K36)+IF((IF(36=4,0,C35))*(1-$K36)&lt;G36,(G36-(IF(36=4,0,C35))*(1-$K36))*Hypothèses!$B$10,0)),1)</f>
        <v>21.1</v>
      </c>
      <c r="D36">
        <f>ROUND(IF(MOD($A36,12)=0,H36,(IF(36=4,0,D35))*(1-$K36)+IF((IF(36=4,0,D35))*(1-$K36)&lt;H36,(H36-(IF(36=4,0,D35))*(1-$K36))*Hypothèses!$B$10,0)),1)</f>
        <v>73.599999999999994</v>
      </c>
      <c r="E36">
        <f>ROUND(IF(MOD($A36,12)=0,I36,(IF(36=4,0,E35))*(1-$K36)+IF((IF(36=4,0,E35))*(1-$K36)&lt;I36,(I36-(IF(36=4,0,E35))*(1-$K36))*Hypothèses!$B$10,0)),1)</f>
        <v>2.9</v>
      </c>
      <c r="F36">
        <f>ROUND(IF(MOD($A36,12)=0,J36,(IF(36=4,0,F35))*(1-$K36)+IF((IF(36=4,0,F35))*(1-$K36)&lt;J36,(J36-(IF(36=4,0,F35))*(1-$K36))*Hypothèses!$B$10,0)),1)</f>
        <v>2.1</v>
      </c>
      <c r="G36">
        <f>(IF(B36=1,0,IF(B36=2,Hypothèses!$B$26,IF(B36=3,Hypothèses!$C$26,Hypothèses!$D$26)))+(IF(B36=1,Hypothèses!$B$26,IF(B36=2,Hypothèses!$C$26,IF(B36=3,Hypothèses!$D$26,Hypothèses!$D$26)))-(IF(B36=1,0,IF(B36=2,Hypothèses!$B$26,IF(B36=3,Hypothèses!$C$26,Hypothèses!$D$26)))))*((A36)-INT((A36-1)/12)*12)/12)*$B$1</f>
        <v>22.75</v>
      </c>
      <c r="H36">
        <f>(IF(B36=1,0,IF(B36=2,Hypothèses!$B$27,IF(B36=3,Hypothèses!$C$27,Hypothèses!$D$27)))+(IF(B36=1,Hypothèses!$B$27,IF(B36=2,Hypothèses!$C$27,IF(B36=3,Hypothèses!$D$27,Hypothèses!$D$27)))-(IF(B36=1,0,IF(B36=2,Hypothèses!$B$27,IF(B36=3,Hypothèses!$C$27,Hypothèses!$D$27)))))*((A36)-INT((A36-1)/12)*12)/12)*$B$1</f>
        <v>79.625</v>
      </c>
      <c r="I36">
        <f>(IF(B36=1,0,IF(B36=2,Hypothèses!$B$28,IF(B36=3,Hypothèses!$C$28,Hypothèses!$D$28)))+(IF(B36=1,Hypothèses!$B$28,IF(B36=2,Hypothèses!$C$28,IF(B36=3,Hypothèses!$D$28,Hypothèses!$D$28)))-(IF(B36=1,0,IF(B36=2,Hypothèses!$B$28,IF(B36=3,Hypothèses!$C$28,Hypothèses!$D$28)))))*((A36)-INT((A36-1)/12)*12)/12)*$B$1</f>
        <v>3.25</v>
      </c>
      <c r="J36">
        <f>(IF(B36=1,0,IF(B36=2,Hypothèses!$B$29,IF(B36=3,Hypothèses!$C$29,Hypothèses!$D$29)))+(IF(B36=1,Hypothèses!$B$29,IF(B36=2,Hypothèses!$C$29,IF(B36=3,Hypothèses!$D$29,Hypothèses!$D$29)))-(IF(B36=1,0,IF(B36=2,Hypothèses!$B$29,IF(B36=3,Hypothèses!$C$29,Hypothèses!$D$29)))))*((A36)-INT((A36-1)/12)*12)/12)*$B$1</f>
        <v>2.2749999999999999</v>
      </c>
      <c r="K36">
        <f>IF(A36&lt;Hypothèses!$B$7,0,Hypothèses!$B$8*(1-Hypothèses!$B$9)^(A36-Hypothèses!$B$7))</f>
        <v>3.9883221538436304E-3</v>
      </c>
      <c r="L36">
        <f t="shared" si="1"/>
        <v>99.699999999999989</v>
      </c>
      <c r="M36">
        <f>(C36*Hypothèses!$B$11+D36*Hypothèses!$B$12+E36*Hypothèses!$B$13+F36*Hypothèses!$B$14)*(IF(B36=1,Hypothèses!$B$20,IF(B36=2,Hypothèses!$B$21,Hypothèses!$B$22))+(1-(IF(B36=1,Hypothèses!$B$20,IF(B36=2,Hypothèses!$B$21,Hypothèses!$B$22))))*11/12)</f>
        <v>15551.88</v>
      </c>
      <c r="N36">
        <f>L36*IF(B36=1,Hypothèses!$C$20,IF(B36=2,Hypothèses!$C$21,Hypothèses!$C$22))*IF(B36=1,Hypothèses!$D$20,IF(B36=2,Hypothèses!$D$21,Hypothèses!$D$22))</f>
        <v>358.91999999999996</v>
      </c>
      <c r="O36">
        <f>IF(A36=18,IF($B$2&gt;=1,Hypothèses!$B$33,0),IF(AND(OR(A36=30,A36=34),$D$2&gt;=1),Hypothèses!$B$34*MIN(1,$D$2/3),0))</f>
        <v>0</v>
      </c>
      <c r="P36">
        <f t="shared" si="2"/>
        <v>15910.8</v>
      </c>
      <c r="Q36">
        <f>P36/(1+Hypothèses!$B$6)</f>
        <v>13259</v>
      </c>
      <c r="R36">
        <f>Hypothèses!$B$3*(1+Hypothèses!$B$4)^INT((A36-1)/3)</f>
        <v>2022.7788678539534</v>
      </c>
      <c r="S36">
        <f t="shared" si="3"/>
        <v>5</v>
      </c>
      <c r="T36">
        <f>S36*Hypothèses!$B$17</f>
        <v>22500</v>
      </c>
      <c r="U36">
        <f>Q36*Hypothèses!$B$5</f>
        <v>132.59</v>
      </c>
      <c r="V36">
        <f t="shared" si="4"/>
        <v>-11396.368867853953</v>
      </c>
      <c r="W36">
        <f t="shared" si="5"/>
        <v>-428865.63358564087</v>
      </c>
    </row>
    <row r="37" spans="1:23" x14ac:dyDescent="0.25">
      <c r="A37">
        <v>34</v>
      </c>
      <c r="B37">
        <f t="shared" si="0"/>
        <v>3</v>
      </c>
      <c r="C37">
        <f>ROUND(IF(MOD($A37,12)=0,G37,(IF(37=4,0,C36))*(1-$K37)+IF((IF(37=4,0,C36))*(1-$K37)&lt;G37,(G37-(IF(37=4,0,C36))*(1-$K37))*Hypothèses!$B$10,0)),1)</f>
        <v>22.1</v>
      </c>
      <c r="D37">
        <f>ROUND(IF(MOD($A37,12)=0,H37,(IF(37=4,0,D36))*(1-$K37)+IF((IF(37=4,0,D36))*(1-$K37)&lt;H37,(H37-(IF(37=4,0,D36))*(1-$K37))*Hypothèses!$B$10,0)),1)</f>
        <v>77.400000000000006</v>
      </c>
      <c r="E37">
        <f>ROUND(IF(MOD($A37,12)=0,I37,(IF(37=4,0,E36))*(1-$K37)+IF((IF(37=4,0,E36))*(1-$K37)&lt;I37,(I37-(IF(37=4,0,E36))*(1-$K37))*Hypothèses!$B$10,0)),1)</f>
        <v>3.1</v>
      </c>
      <c r="F37">
        <f>ROUND(IF(MOD($A37,12)=0,J37,(IF(37=4,0,F36))*(1-$K37)+IF((IF(37=4,0,F36))*(1-$K37)&lt;J37,(J37-(IF(37=4,0,F36))*(1-$K37))*Hypothèses!$B$10,0)),1)</f>
        <v>2.2000000000000002</v>
      </c>
      <c r="G37">
        <f>(IF(B37=1,0,IF(B37=2,Hypothèses!$B$26,IF(B37=3,Hypothèses!$C$26,Hypothèses!$D$26)))+(IF(B37=1,Hypothèses!$B$26,IF(B37=2,Hypothèses!$C$26,IF(B37=3,Hypothèses!$D$26,Hypothèses!$D$26)))-(IF(B37=1,0,IF(B37=2,Hypothèses!$B$26,IF(B37=3,Hypothèses!$C$26,Hypothèses!$D$26)))))*((A37)-INT((A37-1)/12)*12)/12)*$B$1</f>
        <v>23.833333333333336</v>
      </c>
      <c r="H37">
        <f>(IF(B37=1,0,IF(B37=2,Hypothèses!$B$27,IF(B37=3,Hypothèses!$C$27,Hypothèses!$D$27)))+(IF(B37=1,Hypothèses!$B$27,IF(B37=2,Hypothèses!$C$27,IF(B37=3,Hypothèses!$D$27,Hypothèses!$D$27)))-(IF(B37=1,0,IF(B37=2,Hypothèses!$B$27,IF(B37=3,Hypothèses!$C$27,Hypothèses!$D$27)))))*((A37)-INT((A37-1)/12)*12)/12)*$B$1</f>
        <v>83.416666666666671</v>
      </c>
      <c r="I37">
        <f>(IF(B37=1,0,IF(B37=2,Hypothèses!$B$28,IF(B37=3,Hypothèses!$C$28,Hypothèses!$D$28)))+(IF(B37=1,Hypothèses!$B$28,IF(B37=2,Hypothèses!$C$28,IF(B37=3,Hypothèses!$D$28,Hypothèses!$D$28)))-(IF(B37=1,0,IF(B37=2,Hypothèses!$B$28,IF(B37=3,Hypothèses!$C$28,Hypothèses!$D$28)))))*((A37)-INT((A37-1)/12)*12)/12)*$B$1</f>
        <v>3.4666666666666672</v>
      </c>
      <c r="J37">
        <f>(IF(B37=1,0,IF(B37=2,Hypothèses!$B$29,IF(B37=3,Hypothèses!$C$29,Hypothèses!$D$29)))+(IF(B37=1,Hypothèses!$B$29,IF(B37=2,Hypothèses!$C$29,IF(B37=3,Hypothèses!$D$29,Hypothèses!$D$29)))-(IF(B37=1,0,IF(B37=2,Hypothèses!$B$29,IF(B37=3,Hypothèses!$C$29,Hypothèses!$D$29)))))*((A37)-INT((A37-1)/12)*12)/12)*$B$1</f>
        <v>2.3833333333333337</v>
      </c>
      <c r="K37">
        <f>IF(A37&lt;Hypothèses!$B$7,0,Hypothèses!$B$8*(1-Hypothèses!$B$9)^(A37-Hypothèses!$B$7))</f>
        <v>3.5894899384592673E-3</v>
      </c>
      <c r="L37">
        <f t="shared" si="1"/>
        <v>104.8</v>
      </c>
      <c r="M37">
        <f>(C37*Hypothèses!$B$11+D37*Hypothèses!$B$12+E37*Hypothèses!$B$13+F37*Hypothèses!$B$14)*(IF(B37=1,Hypothèses!$B$20,IF(B37=2,Hypothèses!$B$21,Hypothèses!$B$22))+(1-(IF(B37=1,Hypothèses!$B$20,IF(B37=2,Hypothèses!$B$21,Hypothèses!$B$22))))*11/12)</f>
        <v>16363.18</v>
      </c>
      <c r="N37">
        <f>L37*IF(B37=1,Hypothèses!$C$20,IF(B37=2,Hypothèses!$C$21,Hypothèses!$C$22))*IF(B37=1,Hypothèses!$D$20,IF(B37=2,Hypothèses!$D$21,Hypothèses!$D$22))</f>
        <v>377.28</v>
      </c>
      <c r="O37">
        <f>IF(A37=18,IF($B$2&gt;=1,Hypothèses!$B$33,0),IF(AND(OR(A37=30,A37=34),$D$2&gt;=1),Hypothèses!$B$34*MIN(1,$D$2/3),0))</f>
        <v>17000</v>
      </c>
      <c r="P37">
        <f t="shared" si="2"/>
        <v>33740.46</v>
      </c>
      <c r="Q37">
        <f>P37/(1+Hypothèses!$B$6)</f>
        <v>28117.05</v>
      </c>
      <c r="R37">
        <f>Hypothèses!$B$3*(1+Hypothèses!$B$4)^INT((A37-1)/3)</f>
        <v>2326.195698032046</v>
      </c>
      <c r="S37">
        <f t="shared" si="3"/>
        <v>5</v>
      </c>
      <c r="T37">
        <f>S37*Hypothèses!$B$17</f>
        <v>22500</v>
      </c>
      <c r="U37">
        <f>Q37*Hypothèses!$B$5</f>
        <v>281.1705</v>
      </c>
      <c r="V37">
        <f t="shared" si="4"/>
        <v>3009.6838019679526</v>
      </c>
      <c r="W37">
        <f t="shared" si="5"/>
        <v>-425855.94978367293</v>
      </c>
    </row>
    <row r="38" spans="1:23" x14ac:dyDescent="0.25">
      <c r="A38">
        <v>35</v>
      </c>
      <c r="B38">
        <f t="shared" si="0"/>
        <v>3</v>
      </c>
      <c r="C38">
        <f>ROUND(IF(MOD($A38,12)=0,G38,(IF(38=4,0,C37))*(1-$K38)+IF((IF(38=4,0,C37))*(1-$K38)&lt;G38,(G38-(IF(38=4,0,C37))*(1-$K38))*Hypothèses!$B$10,0)),1)</f>
        <v>23.2</v>
      </c>
      <c r="D38">
        <f>ROUND(IF(MOD($A38,12)=0,H38,(IF(38=4,0,D37))*(1-$K38)+IF((IF(38=4,0,D37))*(1-$K38)&lt;H38,(H38-(IF(38=4,0,D37))*(1-$K38))*Hypothèses!$B$10,0)),1)</f>
        <v>81.2</v>
      </c>
      <c r="E38">
        <f>ROUND(IF(MOD($A38,12)=0,I38,(IF(38=4,0,E37))*(1-$K38)+IF((IF(38=4,0,E37))*(1-$K38)&lt;I38,(I38-(IF(38=4,0,E37))*(1-$K38))*Hypothèses!$B$10,0)),1)</f>
        <v>3.3</v>
      </c>
      <c r="F38">
        <f>ROUND(IF(MOD($A38,12)=0,J38,(IF(38=4,0,F37))*(1-$K38)+IF((IF(38=4,0,F37))*(1-$K38)&lt;J38,(J38-(IF(38=4,0,F37))*(1-$K38))*Hypothèses!$B$10,0)),1)</f>
        <v>2.2999999999999998</v>
      </c>
      <c r="G38">
        <f>(IF(B38=1,0,IF(B38=2,Hypothèses!$B$26,IF(B38=3,Hypothèses!$C$26,Hypothèses!$D$26)))+(IF(B38=1,Hypothèses!$B$26,IF(B38=2,Hypothèses!$C$26,IF(B38=3,Hypothèses!$D$26,Hypothèses!$D$26)))-(IF(B38=1,0,IF(B38=2,Hypothèses!$B$26,IF(B38=3,Hypothèses!$C$26,Hypothèses!$D$26)))))*((A38)-INT((A38-1)/12)*12)/12)*$B$1</f>
        <v>24.916666666666664</v>
      </c>
      <c r="H38">
        <f>(IF(B38=1,0,IF(B38=2,Hypothèses!$B$27,IF(B38=3,Hypothèses!$C$27,Hypothèses!$D$27)))+(IF(B38=1,Hypothèses!$B$27,IF(B38=2,Hypothèses!$C$27,IF(B38=3,Hypothèses!$D$27,Hypothèses!$D$27)))-(IF(B38=1,0,IF(B38=2,Hypothèses!$B$27,IF(B38=3,Hypothèses!$C$27,Hypothèses!$D$27)))))*((A38)-INT((A38-1)/12)*12)/12)*$B$1</f>
        <v>87.208333333333343</v>
      </c>
      <c r="I38">
        <f>(IF(B38=1,0,IF(B38=2,Hypothèses!$B$28,IF(B38=3,Hypothèses!$C$28,Hypothèses!$D$28)))+(IF(B38=1,Hypothèses!$B$28,IF(B38=2,Hypothèses!$C$28,IF(B38=3,Hypothèses!$D$28,Hypothèses!$D$28)))-(IF(B38=1,0,IF(B38=2,Hypothèses!$B$28,IF(B38=3,Hypothèses!$C$28,Hypothèses!$D$28)))))*((A38)-INT((A38-1)/12)*12)/12)*$B$1</f>
        <v>3.6833333333333331</v>
      </c>
      <c r="J38">
        <f>(IF(B38=1,0,IF(B38=2,Hypothèses!$B$29,IF(B38=3,Hypothèses!$C$29,Hypothèses!$D$29)))+(IF(B38=1,Hypothèses!$B$29,IF(B38=2,Hypothèses!$C$29,IF(B38=3,Hypothèses!$D$29,Hypothèses!$D$29)))-(IF(B38=1,0,IF(B38=2,Hypothèses!$B$29,IF(B38=3,Hypothèses!$C$29,Hypothèses!$D$29)))))*((A38)-INT((A38-1)/12)*12)/12)*$B$1</f>
        <v>2.4916666666666667</v>
      </c>
      <c r="K38">
        <f>IF(A38&lt;Hypothèses!$B$7,0,Hypothèses!$B$8*(1-Hypothèses!$B$9)^(A38-Hypothèses!$B$7))</f>
        <v>3.2305409446133412E-3</v>
      </c>
      <c r="L38">
        <f t="shared" si="1"/>
        <v>110</v>
      </c>
      <c r="M38">
        <f>(C38*Hypothèses!$B$11+D38*Hypothèses!$B$12+E38*Hypothèses!$B$13+F38*Hypothèses!$B$14)*(IF(B38=1,Hypothèses!$B$20,IF(B38=2,Hypothèses!$B$21,Hypothèses!$B$22))+(1-(IF(B38=1,Hypothèses!$B$20,IF(B38=2,Hypothèses!$B$21,Hypothèses!$B$22))))*11/12)</f>
        <v>17182.934999999998</v>
      </c>
      <c r="N38">
        <f>L38*IF(B38=1,Hypothèses!$C$20,IF(B38=2,Hypothèses!$C$21,Hypothèses!$C$22))*IF(B38=1,Hypothèses!$D$20,IF(B38=2,Hypothèses!$D$21,Hypothèses!$D$22))</f>
        <v>396</v>
      </c>
      <c r="O38">
        <f>IF(A38=18,IF($B$2&gt;=1,Hypothèses!$B$33,0),IF(AND(OR(A38=30,A38=34),$D$2&gt;=1),Hypothèses!$B$34*MIN(1,$D$2/3),0))</f>
        <v>0</v>
      </c>
      <c r="P38">
        <f t="shared" si="2"/>
        <v>17578.934999999998</v>
      </c>
      <c r="Q38">
        <f>P38/(1+Hypothèses!$B$6)</f>
        <v>14649.112499999999</v>
      </c>
      <c r="R38">
        <f>Hypothèses!$B$3*(1+Hypothèses!$B$4)^INT((A38-1)/3)</f>
        <v>2326.195698032046</v>
      </c>
      <c r="S38">
        <f t="shared" si="3"/>
        <v>5</v>
      </c>
      <c r="T38">
        <f>S38*Hypothèses!$B$17</f>
        <v>22500</v>
      </c>
      <c r="U38">
        <f>Q38*Hypothèses!$B$5</f>
        <v>146.49112499999998</v>
      </c>
      <c r="V38">
        <f t="shared" si="4"/>
        <v>-10323.574323032048</v>
      </c>
      <c r="W38">
        <f t="shared" si="5"/>
        <v>-436179.52410670498</v>
      </c>
    </row>
    <row r="39" spans="1:23" x14ac:dyDescent="0.25">
      <c r="A39">
        <v>36</v>
      </c>
      <c r="B39">
        <f t="shared" si="0"/>
        <v>3</v>
      </c>
      <c r="C39">
        <f>ROUND(IF(MOD($A39,12)=0,G39,(IF(39=4,0,C38))*(1-$K39)+IF((IF(39=4,0,C38))*(1-$K39)&lt;G39,(G39-(IF(39=4,0,C38))*(1-$K39))*Hypothèses!$B$10,0)),1)</f>
        <v>26</v>
      </c>
      <c r="D39">
        <f>ROUND(IF(MOD($A39,12)=0,H39,(IF(39=4,0,D38))*(1-$K39)+IF((IF(39=4,0,D38))*(1-$K39)&lt;H39,(H39-(IF(39=4,0,D38))*(1-$K39))*Hypothèses!$B$10,0)),1)</f>
        <v>91</v>
      </c>
      <c r="E39">
        <f>ROUND(IF(MOD($A39,12)=0,I39,(IF(39=4,0,E38))*(1-$K39)+IF((IF(39=4,0,E38))*(1-$K39)&lt;I39,(I39-(IF(39=4,0,E38))*(1-$K39))*Hypothèses!$B$10,0)),1)</f>
        <v>3.9</v>
      </c>
      <c r="F39">
        <f>ROUND(IF(MOD($A39,12)=0,J39,(IF(39=4,0,F38))*(1-$K39)+IF((IF(39=4,0,F38))*(1-$K39)&lt;J39,(J39-(IF(39=4,0,F38))*(1-$K39))*Hypothèses!$B$10,0)),1)</f>
        <v>2.6</v>
      </c>
      <c r="G39">
        <f>(IF(B39=1,0,IF(B39=2,Hypothèses!$B$26,IF(B39=3,Hypothèses!$C$26,Hypothèses!$D$26)))+(IF(B39=1,Hypothèses!$B$26,IF(B39=2,Hypothèses!$C$26,IF(B39=3,Hypothèses!$D$26,Hypothèses!$D$26)))-(IF(B39=1,0,IF(B39=2,Hypothèses!$B$26,IF(B39=3,Hypothèses!$C$26,Hypothèses!$D$26)))))*((A39)-INT((A39-1)/12)*12)/12)*$B$1</f>
        <v>26</v>
      </c>
      <c r="H39">
        <f>(IF(B39=1,0,IF(B39=2,Hypothèses!$B$27,IF(B39=3,Hypothèses!$C$27,Hypothèses!$D$27)))+(IF(B39=1,Hypothèses!$B$27,IF(B39=2,Hypothèses!$C$27,IF(B39=3,Hypothèses!$D$27,Hypothèses!$D$27)))-(IF(B39=1,0,IF(B39=2,Hypothèses!$B$27,IF(B39=3,Hypothèses!$C$27,Hypothèses!$D$27)))))*((A39)-INT((A39-1)/12)*12)/12)*$B$1</f>
        <v>91</v>
      </c>
      <c r="I39">
        <f>(IF(B39=1,0,IF(B39=2,Hypothèses!$B$28,IF(B39=3,Hypothèses!$C$28,Hypothèses!$D$28)))+(IF(B39=1,Hypothèses!$B$28,IF(B39=2,Hypothèses!$C$28,IF(B39=3,Hypothèses!$D$28,Hypothèses!$D$28)))-(IF(B39=1,0,IF(B39=2,Hypothèses!$B$28,IF(B39=3,Hypothèses!$C$28,Hypothèses!$D$28)))))*((A39)-INT((A39-1)/12)*12)/12)*$B$1</f>
        <v>3.9000000000000004</v>
      </c>
      <c r="J39">
        <f>(IF(B39=1,0,IF(B39=2,Hypothèses!$B$29,IF(B39=3,Hypothèses!$C$29,Hypothèses!$D$29)))+(IF(B39=1,Hypothèses!$B$29,IF(B39=2,Hypothèses!$C$29,IF(B39=3,Hypothèses!$D$29,Hypothèses!$D$29)))-(IF(B39=1,0,IF(B39=2,Hypothèses!$B$29,IF(B39=3,Hypothèses!$C$29,Hypothèses!$D$29)))))*((A39)-INT((A39-1)/12)*12)/12)*$B$1</f>
        <v>2.6</v>
      </c>
      <c r="K39">
        <f>IF(A39&lt;Hypothèses!$B$7,0,Hypothèses!$B$8*(1-Hypothèses!$B$9)^(A39-Hypothèses!$B$7))</f>
        <v>2.9074868501520069E-3</v>
      </c>
      <c r="L39">
        <f t="shared" si="1"/>
        <v>123.5</v>
      </c>
      <c r="M39">
        <f>(C39*Hypothèses!$B$11+D39*Hypothèses!$B$12+E39*Hypothèses!$B$13+F39*Hypothèses!$B$14)*(IF(B39=1,Hypothèses!$B$20,IF(B39=2,Hypothèses!$B$21,Hypothèses!$B$22))+(1-(IF(B39=1,Hypothèses!$B$20,IF(B39=2,Hypothèses!$B$21,Hypothèses!$B$22))))*11/12)</f>
        <v>19373.444999999996</v>
      </c>
      <c r="N39">
        <f>L39*IF(B39=1,Hypothèses!$C$20,IF(B39=2,Hypothèses!$C$21,Hypothèses!$C$22))*IF(B39=1,Hypothèses!$D$20,IF(B39=2,Hypothèses!$D$21,Hypothèses!$D$22))</f>
        <v>444.6</v>
      </c>
      <c r="O39">
        <f>IF(A39=18,IF($B$2&gt;=1,Hypothèses!$B$33,0),IF(AND(OR(A39=30,A39=34),$D$2&gt;=1),Hypothèses!$B$34*MIN(1,$D$2/3),0))</f>
        <v>0</v>
      </c>
      <c r="P39">
        <f t="shared" si="2"/>
        <v>19818.044999999995</v>
      </c>
      <c r="Q39">
        <f>P39/(1+Hypothèses!$B$6)</f>
        <v>16515.037499999995</v>
      </c>
      <c r="R39">
        <f>Hypothèses!$B$3*(1+Hypothèses!$B$4)^INT((A39-1)/3)</f>
        <v>2326.195698032046</v>
      </c>
      <c r="S39">
        <f t="shared" si="3"/>
        <v>5</v>
      </c>
      <c r="T39">
        <f>S39*Hypothèses!$B$17</f>
        <v>22500</v>
      </c>
      <c r="U39">
        <f>Q39*Hypothèses!$B$5</f>
        <v>165.15037499999994</v>
      </c>
      <c r="V39">
        <f t="shared" si="4"/>
        <v>-8476.3085730320508</v>
      </c>
      <c r="W39">
        <f t="shared" si="5"/>
        <v>-444655.83267973701</v>
      </c>
    </row>
    <row r="41" spans="1:23" ht="15.75" x14ac:dyDescent="0.25">
      <c r="A41" s="2" t="s">
        <v>60</v>
      </c>
    </row>
    <row r="42" spans="1:23" x14ac:dyDescent="0.25">
      <c r="A42" t="s">
        <v>41</v>
      </c>
      <c r="B42" t="s">
        <v>53</v>
      </c>
      <c r="C42" t="s">
        <v>58</v>
      </c>
      <c r="D42" t="s">
        <v>61</v>
      </c>
      <c r="E42" t="s">
        <v>62</v>
      </c>
    </row>
    <row r="43" spans="1:23" x14ac:dyDescent="0.25">
      <c r="A43" t="s">
        <v>19</v>
      </c>
      <c r="B43">
        <f>SUMIF($B$4:$B$39,1,$Q$4:$Q$39)</f>
        <v>10684.5</v>
      </c>
      <c r="C43">
        <f>SUMIF($B$4:$B$39,1,$V$4:$V$39)</f>
        <v>-131912.4075</v>
      </c>
      <c r="D43">
        <f>SUMIF($B$4:$B$39,1,$T$4:$T$39)</f>
        <v>135000</v>
      </c>
      <c r="E43">
        <f>W15</f>
        <v>-129812.4075</v>
      </c>
    </row>
    <row r="44" spans="1:23" x14ac:dyDescent="0.25">
      <c r="A44" t="s">
        <v>20</v>
      </c>
      <c r="B44">
        <f>SUMIF($B$4:$B$39,2,$Q$4:$Q$39)</f>
        <v>67697.027777777781</v>
      </c>
      <c r="C44">
        <f>SUMIF($B$4:$B$39,2,$V$4:$V$39)</f>
        <v>-189080.1086253906</v>
      </c>
      <c r="D44">
        <f>SUMIF($B$4:$B$39,2,$T$4:$T$39)</f>
        <v>243000</v>
      </c>
      <c r="E44">
        <f>W27</f>
        <v>-318892.5161253906</v>
      </c>
    </row>
    <row r="45" spans="1:23" x14ac:dyDescent="0.25">
      <c r="A45" t="s">
        <v>21</v>
      </c>
      <c r="B45">
        <f>SUMIF($B$4:$B$39,3,$Q$4:$Q$39)</f>
        <v>168837.32916666666</v>
      </c>
      <c r="C45">
        <f>SUMIF($B$4:$B$39,3,$V$4:$V$39)</f>
        <v>-125763.31655434646</v>
      </c>
      <c r="D45">
        <f>SUMIF($B$4:$B$39,3,$T$4:$T$39)</f>
        <v>270000</v>
      </c>
      <c r="E45">
        <f>W39</f>
        <v>-444655.83267973701</v>
      </c>
    </row>
    <row r="47" spans="1:23" x14ac:dyDescent="0.25">
      <c r="A47" s="3" t="s">
        <v>63</v>
      </c>
    </row>
    <row r="48" spans="1:23" x14ac:dyDescent="0.25">
      <c r="A48" t="str">
        <f>ROUND(Hypothèses!$D$26*$B$1,0)&amp;" Atelier · "&amp;ROUND(Hypothèses!$D$27*$B$1,0)&amp;" Horizon · "&amp;ROUND(Hypothèses!$D$28*$B$1,0)&amp;" Enverg. · "&amp;ROUND(Hypothèses!$D$29*$B$1,0)&amp;" Rayonn."</f>
        <v>26 Atelier · 91 Horizon · 4 Enverg. · 3 Rayonn.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"/>
  <sheetViews>
    <sheetView tabSelected="1" workbookViewId="0">
      <selection activeCell="F6" sqref="F6"/>
    </sheetView>
  </sheetViews>
  <sheetFormatPr baseColWidth="10" defaultColWidth="9.140625" defaultRowHeight="15" x14ac:dyDescent="0.25"/>
  <cols>
    <col min="1" max="9" width="18" customWidth="1"/>
  </cols>
  <sheetData>
    <row r="1" spans="1:9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 spans="1:9" x14ac:dyDescent="0.25">
      <c r="A2" t="s">
        <v>73</v>
      </c>
      <c r="B2" s="4">
        <f>'Prudent (-30%)'!B43</f>
        <v>5803.958333333333</v>
      </c>
      <c r="C2" s="4">
        <f>'Prudent (-30%)'!C43</f>
        <v>-1744.1437499999988</v>
      </c>
      <c r="D2" s="4">
        <f>'Prudent (-30%)'!B44</f>
        <v>42255.538194444438</v>
      </c>
      <c r="E2" s="4">
        <f>'Prudent (-30%)'!C44</f>
        <v>28732.816687109382</v>
      </c>
      <c r="F2" s="4">
        <f>'Prudent (-30%)'!B45</f>
        <v>94425.051388888882</v>
      </c>
      <c r="G2" s="4">
        <f>'Prudent (-30%)'!C45</f>
        <v>70568.52844565353</v>
      </c>
      <c r="H2" s="4">
        <f>'Prudent (-30%)'!E45</f>
        <v>99657.201382762913</v>
      </c>
      <c r="I2">
        <f>'Prudent (-30%)'!S39</f>
        <v>0</v>
      </c>
    </row>
    <row r="3" spans="1:9" x14ac:dyDescent="0.25">
      <c r="A3" t="s">
        <v>74</v>
      </c>
      <c r="B3" s="4">
        <f>Base!B43</f>
        <v>8197.0916666666672</v>
      </c>
      <c r="C3" s="4">
        <f>Base!C43</f>
        <v>625.05825000000164</v>
      </c>
      <c r="D3" s="4">
        <f>Base!B44</f>
        <v>55427.736111111117</v>
      </c>
      <c r="E3" s="4">
        <f>Base!C44</f>
        <v>-12226.707375390619</v>
      </c>
      <c r="F3" s="4">
        <f>Base!B45</f>
        <v>136641.88750000001</v>
      </c>
      <c r="G3" s="4">
        <f>Base!C45</f>
        <v>58363.196195653531</v>
      </c>
      <c r="H3" s="4">
        <f>Base!E45</f>
        <v>48861.54707026291</v>
      </c>
      <c r="I3">
        <f>Base!S39</f>
        <v>1</v>
      </c>
    </row>
    <row r="4" spans="1:9" x14ac:dyDescent="0.25">
      <c r="A4" t="s">
        <v>75</v>
      </c>
      <c r="B4" s="4">
        <f>'Ambitieux (+30%)'!B43</f>
        <v>10684.5</v>
      </c>
      <c r="C4" s="4">
        <f>'Ambitieux (+30%)'!C43</f>
        <v>-131912.4075</v>
      </c>
      <c r="D4" s="4">
        <f>'Ambitieux (+30%)'!B44</f>
        <v>67697.027777777781</v>
      </c>
      <c r="E4" s="4">
        <f>'Ambitieux (+30%)'!C44</f>
        <v>-189080.1086253906</v>
      </c>
      <c r="F4" s="4">
        <f>'Ambitieux (+30%)'!B45</f>
        <v>168837.32916666666</v>
      </c>
      <c r="G4" s="4">
        <f>'Ambitieux (+30%)'!C45</f>
        <v>-125763.31655434646</v>
      </c>
      <c r="H4" s="4">
        <f>'Ambitieux (+30%)'!E45</f>
        <v>-444655.83267973701</v>
      </c>
      <c r="I4">
        <f>'Ambitieux (+30%)'!S39</f>
        <v>5</v>
      </c>
    </row>
    <row r="5" spans="1:9" x14ac:dyDescent="0.25">
      <c r="F5" s="5">
        <v>0.1</v>
      </c>
    </row>
    <row r="6" spans="1:9" x14ac:dyDescent="0.25">
      <c r="F6" s="4">
        <f>+F4*$F$5</f>
        <v>16883.732916666668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Hypothèses</vt:lpstr>
      <vt:lpstr>Prudent (-30%)</vt:lpstr>
      <vt:lpstr>Base</vt:lpstr>
      <vt:lpstr>Ambitieux (+30%)</vt:lpstr>
      <vt:lpstr>Comparatif annuel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Fabien DUPONT</cp:lastModifiedBy>
  <dcterms:created xsi:type="dcterms:W3CDTF">2026-07-20T14:27:07Z</dcterms:created>
  <dcterms:modified xsi:type="dcterms:W3CDTF">2026-07-25T08:10:33Z</dcterms:modified>
</cp:coreProperties>
</file>